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_Github\2025-ITEC0401\paper_review\z_TimekD\0_Result\"/>
    </mc:Choice>
  </mc:AlternateContent>
  <xr:revisionPtr revIDLastSave="0" documentId="13_ncr:1_{7CD30613-4070-42D4-B0C4-6DE28CA44B8C}" xr6:coauthVersionLast="47" xr6:coauthVersionMax="47" xr10:uidLastSave="{00000000-0000-0000-0000-000000000000}"/>
  <bookViews>
    <workbookView xWindow="-120" yWindow="-120" windowWidth="29040" windowHeight="17520" xr2:uid="{A57A82F8-F38C-4D50-AACE-0DF75CA5B390}"/>
  </bookViews>
  <sheets>
    <sheet name="Difference" sheetId="6" r:id="rId1"/>
    <sheet name="Paper_Long-Term" sheetId="2" r:id="rId2"/>
    <sheet name="Reproduce_Long-Term_1e-4" sheetId="5" r:id="rId3"/>
    <sheet name="Reproduce_Long-Term_1e-5" sheetId="4" r:id="rId4"/>
    <sheet name="Paper_Short-Term" sheetId="3" r:id="rId5"/>
    <sheet name="Reproduce_Short-Term" sheetId="1" r:id="rId6"/>
  </sheets>
  <definedNames>
    <definedName name="ExternalData_1" localSheetId="4" hidden="1">'Paper_Short-Term'!$B$1:$P$5</definedName>
    <definedName name="ExternalData_1" localSheetId="5" hidden="1">'Reproduce_Short-Term'!$B$1:$D$5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5" l="1"/>
  <c r="J39" i="6" s="1"/>
  <c r="K39" i="6" s="1"/>
  <c r="D39" i="5"/>
  <c r="E39" i="4"/>
  <c r="D39" i="4"/>
  <c r="G39" i="6" s="1"/>
  <c r="H39" i="6" s="1"/>
  <c r="M11" i="6"/>
  <c r="M12" i="6"/>
  <c r="M13" i="6"/>
  <c r="M14" i="6"/>
  <c r="M16" i="6"/>
  <c r="M23" i="6"/>
  <c r="M24" i="6"/>
  <c r="M25" i="6"/>
  <c r="M26" i="6"/>
  <c r="M28" i="6"/>
  <c r="M4" i="6"/>
  <c r="K20" i="6"/>
  <c r="K30" i="6"/>
  <c r="H10" i="6"/>
  <c r="H11" i="6"/>
  <c r="H13" i="6"/>
  <c r="H14" i="6"/>
  <c r="H22" i="6"/>
  <c r="H23" i="6"/>
  <c r="H25" i="6"/>
  <c r="H26" i="6"/>
  <c r="H34" i="6"/>
  <c r="F8" i="6"/>
  <c r="F32" i="6"/>
  <c r="L5" i="6"/>
  <c r="M5" i="6" s="1"/>
  <c r="L6" i="6"/>
  <c r="M6" i="6" s="1"/>
  <c r="L7" i="6"/>
  <c r="M7" i="6" s="1"/>
  <c r="L8" i="6"/>
  <c r="M8" i="6" s="1"/>
  <c r="L9" i="6"/>
  <c r="M9" i="6" s="1"/>
  <c r="L10" i="6"/>
  <c r="M10" i="6" s="1"/>
  <c r="L11" i="6"/>
  <c r="L12" i="6"/>
  <c r="L13" i="6"/>
  <c r="L14" i="6"/>
  <c r="L16" i="6"/>
  <c r="L17" i="6"/>
  <c r="M17" i="6" s="1"/>
  <c r="L18" i="6"/>
  <c r="M18" i="6" s="1"/>
  <c r="L19" i="6"/>
  <c r="M19" i="6" s="1"/>
  <c r="L20" i="6"/>
  <c r="M20" i="6" s="1"/>
  <c r="L21" i="6"/>
  <c r="M21" i="6" s="1"/>
  <c r="L22" i="6"/>
  <c r="M22" i="6" s="1"/>
  <c r="L23" i="6"/>
  <c r="L24" i="6"/>
  <c r="L25" i="6"/>
  <c r="L26" i="6"/>
  <c r="L28" i="6"/>
  <c r="L29" i="6"/>
  <c r="M29" i="6" s="1"/>
  <c r="L30" i="6"/>
  <c r="M30" i="6" s="1"/>
  <c r="L31" i="6"/>
  <c r="M31" i="6" s="1"/>
  <c r="L32" i="6"/>
  <c r="M32" i="6" s="1"/>
  <c r="L33" i="6"/>
  <c r="M33" i="6" s="1"/>
  <c r="L34" i="6"/>
  <c r="M34" i="6" s="1"/>
  <c r="L35" i="6"/>
  <c r="M35" i="6" s="1"/>
  <c r="L36" i="6"/>
  <c r="M36" i="6" s="1"/>
  <c r="L37" i="6"/>
  <c r="M37" i="6" s="1"/>
  <c r="L38" i="6"/>
  <c r="M38" i="6" s="1"/>
  <c r="L39" i="6"/>
  <c r="M39" i="6" s="1"/>
  <c r="L4" i="6"/>
  <c r="G5" i="6"/>
  <c r="H5" i="6" s="1"/>
  <c r="G6" i="6"/>
  <c r="H6" i="6" s="1"/>
  <c r="G7" i="6"/>
  <c r="H7" i="6" s="1"/>
  <c r="G8" i="6"/>
  <c r="H8" i="6" s="1"/>
  <c r="G9" i="6"/>
  <c r="H9" i="6" s="1"/>
  <c r="G10" i="6"/>
  <c r="G11" i="6"/>
  <c r="G12" i="6"/>
  <c r="H12" i="6" s="1"/>
  <c r="G13" i="6"/>
  <c r="G14" i="6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G23" i="6"/>
  <c r="G24" i="6"/>
  <c r="H24" i="6" s="1"/>
  <c r="G25" i="6"/>
  <c r="G26" i="6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G35" i="6"/>
  <c r="H35" i="6" s="1"/>
  <c r="G36" i="6"/>
  <c r="H36" i="6" s="1"/>
  <c r="G37" i="6"/>
  <c r="H37" i="6" s="1"/>
  <c r="G38" i="6"/>
  <c r="H38" i="6" s="1"/>
  <c r="G4" i="6"/>
  <c r="H4" i="6" s="1"/>
  <c r="J5" i="6"/>
  <c r="K5" i="6" s="1"/>
  <c r="J6" i="6"/>
  <c r="K6" i="6" s="1"/>
  <c r="J7" i="6"/>
  <c r="K7" i="6" s="1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K14" i="6" s="1"/>
  <c r="J16" i="6"/>
  <c r="K16" i="6" s="1"/>
  <c r="J17" i="6"/>
  <c r="K17" i="6" s="1"/>
  <c r="J18" i="6"/>
  <c r="K18" i="6" s="1"/>
  <c r="J19" i="6"/>
  <c r="K19" i="6" s="1"/>
  <c r="J20" i="6"/>
  <c r="J21" i="6"/>
  <c r="K21" i="6" s="1"/>
  <c r="J22" i="6"/>
  <c r="K22" i="6" s="1"/>
  <c r="J23" i="6"/>
  <c r="K23" i="6" s="1"/>
  <c r="J24" i="6"/>
  <c r="K24" i="6" s="1"/>
  <c r="J25" i="6"/>
  <c r="K25" i="6" s="1"/>
  <c r="J26" i="6"/>
  <c r="K26" i="6" s="1"/>
  <c r="J28" i="6"/>
  <c r="K28" i="6" s="1"/>
  <c r="J29" i="6"/>
  <c r="K29" i="6" s="1"/>
  <c r="J30" i="6"/>
  <c r="J31" i="6"/>
  <c r="K31" i="6" s="1"/>
  <c r="J32" i="6"/>
  <c r="K32" i="6" s="1"/>
  <c r="J33" i="6"/>
  <c r="K33" i="6" s="1"/>
  <c r="J34" i="6"/>
  <c r="K34" i="6" s="1"/>
  <c r="J35" i="6"/>
  <c r="K35" i="6" s="1"/>
  <c r="J36" i="6"/>
  <c r="K36" i="6" s="1"/>
  <c r="J37" i="6"/>
  <c r="K37" i="6" s="1"/>
  <c r="J38" i="6"/>
  <c r="K38" i="6" s="1"/>
  <c r="J4" i="6"/>
  <c r="K4" i="6" s="1"/>
  <c r="E5" i="6"/>
  <c r="F5" i="6" s="1"/>
  <c r="E6" i="6"/>
  <c r="F6" i="6" s="1"/>
  <c r="E7" i="6"/>
  <c r="F7" i="6" s="1"/>
  <c r="E8" i="6"/>
  <c r="E9" i="6"/>
  <c r="F9" i="6" s="1"/>
  <c r="E10" i="6"/>
  <c r="F10" i="6" s="1"/>
  <c r="E11" i="6"/>
  <c r="F11" i="6" s="1"/>
  <c r="E12" i="6"/>
  <c r="F12" i="6" s="1"/>
  <c r="E13" i="6"/>
  <c r="F13" i="6" s="1"/>
  <c r="E14" i="6"/>
  <c r="F14" i="6" s="1"/>
  <c r="E16" i="6"/>
  <c r="F16" i="6" s="1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 s="1"/>
  <c r="E25" i="6"/>
  <c r="F25" i="6" s="1"/>
  <c r="E26" i="6"/>
  <c r="F26" i="6" s="1"/>
  <c r="E28" i="6"/>
  <c r="F28" i="6" s="1"/>
  <c r="E29" i="6"/>
  <c r="F29" i="6" s="1"/>
  <c r="E30" i="6"/>
  <c r="F30" i="6" s="1"/>
  <c r="E31" i="6"/>
  <c r="F31" i="6" s="1"/>
  <c r="E32" i="6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" i="6"/>
  <c r="F4" i="6" s="1"/>
  <c r="I39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" i="6"/>
  <c r="E15" i="4"/>
  <c r="L15" i="6" s="1"/>
  <c r="M15" i="6" s="1"/>
  <c r="D15" i="4"/>
  <c r="G15" i="6" s="1"/>
  <c r="H15" i="6" s="1"/>
  <c r="E9" i="4"/>
  <c r="D9" i="4"/>
  <c r="E27" i="4"/>
  <c r="L27" i="6" s="1"/>
  <c r="M27" i="6" s="1"/>
  <c r="D27" i="4"/>
  <c r="G27" i="6" s="1"/>
  <c r="H27" i="6" s="1"/>
  <c r="E21" i="4"/>
  <c r="D21" i="4"/>
  <c r="E15" i="5"/>
  <c r="J15" i="6" s="1"/>
  <c r="K15" i="6" s="1"/>
  <c r="D15" i="5"/>
  <c r="E15" i="6" s="1"/>
  <c r="F15" i="6" s="1"/>
  <c r="E9" i="5"/>
  <c r="D9" i="5"/>
  <c r="E27" i="5"/>
  <c r="J27" i="6" s="1"/>
  <c r="K27" i="6" s="1"/>
  <c r="D27" i="5"/>
  <c r="E27" i="6" s="1"/>
  <c r="F27" i="6" s="1"/>
  <c r="E21" i="5"/>
  <c r="D2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FD23B4-5C18-4C66-80FD-DEC6CDDFD5F4}" keepAlive="1" name="쿼리 - Table044 (Page 9)" description="통합 문서의 'Table044 (Page 9)' 쿼리에 대한 연결입니다." type="5" refreshedVersion="0" background="1">
    <dbPr connection="Provider=Microsoft.Mashup.OleDb.1;Data Source=$Workbook$;Location=&quot;Table044 (Page 9)&quot;;Extended Properties=&quot;&quot;" command="SELECT * FROM [Table044 (Page 9)]"/>
  </connection>
  <connection id="2" xr16:uid="{F5DE1D7D-E441-4057-A05A-6E1AA19561CE}" keepAlive="1" name="쿼리 - Table045 (Page 9)" description="통합 문서의 'Table045 (Page 9)' 쿼리에 대한 연결입니다." type="5" refreshedVersion="8" background="1" saveData="1">
    <dbPr connection="Provider=Microsoft.Mashup.OleDb.1;Data Source=$Workbook$;Location=&quot;Table045 (Page 9)&quot;;Extended Properties=&quot;&quot;" command="SELECT * FROM [Table045 (Page 9)]"/>
  </connection>
  <connection id="3" xr16:uid="{73504104-D0D4-450A-9AB2-7F6C9D7DB425}" keepAlive="1" name="쿼리 - Table045 (Page 9) (2)" description="통합 문서의 'Table045 (Page 9) (2)' 쿼리에 대한 연결입니다." type="5" refreshedVersion="8" background="1" saveData="1">
    <dbPr connection="Provider=Microsoft.Mashup.OleDb.1;Data Source=$Workbook$;Location=&quot;Table045 (Page 9) (2)&quot;;Extended Properties=&quot;&quot;" command="SELECT * FROM [Table045 (Page 9) (2)]"/>
  </connection>
  <connection id="4" xr16:uid="{B2EB6C2F-4ECC-4493-96F1-B0ABEB5F5A9D}" keepAlive="1" name="쿼리 - Table045 (Page 9) (3)" description="통합 문서의 'Table045 (Page 9) (3)' 쿼리에 대한 연결입니다." type="5" refreshedVersion="8" background="1" saveData="1">
    <dbPr connection="Provider=Microsoft.Mashup.OleDb.1;Data Source=$Workbook$;Location=&quot;Table045 (Page 9) (3)&quot;;Extended Properties=&quot;&quot;" command="SELECT * FROM [Table045 (Page 9) (3)]"/>
  </connection>
</connections>
</file>

<file path=xl/sharedStrings.xml><?xml version="1.0" encoding="utf-8"?>
<sst xmlns="http://schemas.openxmlformats.org/spreadsheetml/2006/main" count="340" uniqueCount="72">
  <si>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</si>
  <si>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</si>
  <si>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</si>
  <si>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</si>
  <si>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</si>
  <si>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</si>
  <si>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</si>
  <si>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</si>
  <si>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</si>
  <si>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</si>
  <si>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</si>
  <si>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</si>
  <si>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</si>
  <si>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</si>
  <si>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</si>
  <si>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</si>
  <si>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Datasets</t>
  </si>
  <si>
    <t>TimeKD</t>
  </si>
  <si>
    <t>TimeCMA</t>
  </si>
  <si>
    <t>TimeLLM</t>
  </si>
  <si>
    <t>UniTime</t>
  </si>
  <si>
    <t>OFA</t>
  </si>
  <si>
    <t>iTransformer</t>
  </si>
  <si>
    <t>PatchTST</t>
  </si>
  <si>
    <t>MSE</t>
  </si>
  <si>
    <t>MAE</t>
  </si>
  <si>
    <t>0.232</t>
  </si>
  <si>
    <t>ETTm1</t>
  </si>
  <si>
    <t>Avg</t>
  </si>
  <si>
    <t>0.083</t>
  </si>
  <si>
    <t>0.092</t>
  </si>
  <si>
    <t>0.193</t>
  </si>
  <si>
    <t>ETTm2</t>
  </si>
  <si>
    <t>0.180</t>
  </si>
  <si>
    <t>0.150</t>
  </si>
  <si>
    <t>ETTh1</t>
  </si>
  <si>
    <t>0.182</t>
  </si>
  <si>
    <t>0.178</t>
  </si>
  <si>
    <t>ETTh2</t>
  </si>
  <si>
    <t>0.161</t>
  </si>
  <si>
    <t>Weather</t>
  </si>
  <si>
    <t>0.189</t>
  </si>
  <si>
    <t>0.195</t>
  </si>
  <si>
    <t>0.183</t>
  </si>
  <si>
    <t>Exchange</t>
  </si>
  <si>
    <t>0.085</t>
  </si>
  <si>
    <t>0.078</t>
  </si>
  <si>
    <t>0.074</t>
  </si>
  <si>
    <t>Output Length</t>
    <phoneticPr fontId="1" type="noConversion"/>
  </si>
  <si>
    <t>PEMS04</t>
  </si>
  <si>
    <t>0.066</t>
  </si>
  <si>
    <t>0.165</t>
  </si>
  <si>
    <t>0.187</t>
  </si>
  <si>
    <t>0.087</t>
  </si>
  <si>
    <t>0.089</t>
  </si>
  <si>
    <t>0.224</t>
  </si>
  <si>
    <t>PEMS08</t>
  </si>
  <si>
    <t>0.063</t>
  </si>
  <si>
    <t>0.076</t>
  </si>
  <si>
    <t>0.196</t>
  </si>
  <si>
    <t>0.199</t>
  </si>
  <si>
    <t>0.079</t>
  </si>
  <si>
    <t>0.168</t>
  </si>
  <si>
    <t>Dataset</t>
    <phoneticPr fontId="1" type="noConversion"/>
  </si>
  <si>
    <t>Paper</t>
    <phoneticPr fontId="1" type="noConversion"/>
  </si>
  <si>
    <t>MSE</t>
    <phoneticPr fontId="1" type="noConversion"/>
  </si>
  <si>
    <t>MAE</t>
    <phoneticPr fontId="1" type="noConversion"/>
  </si>
  <si>
    <t>Reproduce
1e-4</t>
    <phoneticPr fontId="1" type="noConversion"/>
  </si>
  <si>
    <t>Difference
1e-4</t>
    <phoneticPr fontId="1" type="noConversion"/>
  </si>
  <si>
    <t>Reproduce
1e-5</t>
    <phoneticPr fontId="1" type="noConversion"/>
  </si>
  <si>
    <t>Difference
1e-5</t>
    <phoneticPr fontId="1" type="noConversion"/>
  </si>
  <si>
    <t>Output
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</si>
</sst>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thin">
        <color indexed="64"/>
      </bottom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</cellXfs>
  <cellStyles count="1">
    <cellStyle name="표준" xfId="0" builtinId="0"/>
  </cellStyles>
  <dxfs count="50"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MSE on ETTm1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Difference!$D$3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Difference!$D$4:$D$9</c:f>
              <c:numCache>
                <c:formatCode>General</c:formatCode>
                <c:ptCount val="6"/>
                <c:pt idx="0">
                  <c:v>0.20200000000000001</c:v>
                </c:pt>
                <c:pt idx="1">
                  <c:v>0.25900000000000001</c:v>
                </c:pt>
                <c:pt idx="2">
                  <c:v>0.27200000000000002</c:v>
                </c:pt>
                <c:pt idx="3">
                  <c:v>0.30499999999999999</c:v>
                </c:pt>
                <c:pt idx="4">
                  <c:v>0.35499999999999998</c:v>
                </c:pt>
                <c:pt idx="5">
                  <c:v>0.27900000000000003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0-4C20-A868-A256EA7B925E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Difference!$E$4:$E$9</c:f>
              <c:numCache>
                <c:formatCode>General</c:formatCode>
                <c:ptCount val="6"/>
                <c:pt idx="0">
                  <c:v>0.2137</c:v>
                </c:pt>
                <c:pt idx="1">
                  <c:v>0.247</c:v>
                </c:pt>
                <c:pt idx="2">
                  <c:v>0.26979999999999998</c:v>
                </c:pt>
                <c:pt idx="3">
                  <c:v>0.30780000000000002</c:v>
                </c:pt>
                <c:pt idx="4">
                  <c:v>0.3574</c:v>
                </c:pt>
                <c:pt idx="5">
                  <c:v>0.27914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0-4C20-A868-A256EA7B925E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Difference!$G$4:$G$9</c:f>
              <c:numCache>
                <c:formatCode>General</c:formatCode>
                <c:ptCount val="6"/>
                <c:pt idx="0">
                  <c:v>0.22159999999999999</c:v>
                </c:pt>
                <c:pt idx="1">
                  <c:v>0.28420000000000001</c:v>
                </c:pt>
                <c:pt idx="2">
                  <c:v>0.29110000000000003</c:v>
                </c:pt>
                <c:pt idx="3">
                  <c:v>0.32090000000000002</c:v>
                </c:pt>
                <c:pt idx="4">
                  <c:v>0.3725</c:v>
                </c:pt>
                <c:pt idx="5">
                  <c:v>0.29806000000000005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0A0-4C20-A868-A256EA7B9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MAE on ETTm1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Difference!$I$3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Difference!$I$4:$I$9</c:f>
              <c:numCache>
                <c:formatCode>General</c:formatCode>
                <c:ptCount val="6"/>
                <c:pt idx="0">
                  <c:v>0.25800000000000001</c:v>
                </c:pt>
                <c:pt idx="1">
                  <c:v>0.30199999999999999</c:v>
                </c:pt>
                <c:pt idx="2">
                  <c:v>0.32300000000000001</c:v>
                </c:pt>
                <c:pt idx="3">
                  <c:v>0.34200000000000003</c:v>
                </c:pt>
                <c:pt idx="4">
                  <c:v>0.36699999999999999</c:v>
                </c:pt>
                <c:pt idx="5">
                  <c:v>0.318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94-4E4C-82EF-644663264351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Difference!$J$4:$J$9</c:f>
              <c:numCache>
                <c:formatCode>General</c:formatCode>
                <c:ptCount val="6"/>
                <c:pt idx="0">
                  <c:v>0.2853</c:v>
                </c:pt>
                <c:pt idx="1">
                  <c:v>0.30180000000000001</c:v>
                </c:pt>
                <c:pt idx="2">
                  <c:v>0.31640000000000001</c:v>
                </c:pt>
                <c:pt idx="3">
                  <c:v>0.34350000000000003</c:v>
                </c:pt>
                <c:pt idx="4">
                  <c:v>0.37309999999999999</c:v>
                </c:pt>
                <c:pt idx="5">
                  <c:v>0.32401999999999997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94-4E4C-82EF-644663264351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Difference!$L$4:$L$9</c:f>
              <c:numCache>
                <c:formatCode>General</c:formatCode>
                <c:ptCount val="6"/>
                <c:pt idx="0">
                  <c:v>0.29659999999999997</c:v>
                </c:pt>
                <c:pt idx="1">
                  <c:v>0.33479999999999999</c:v>
                </c:pt>
                <c:pt idx="2">
                  <c:v>0.33560000000000001</c:v>
                </c:pt>
                <c:pt idx="3">
                  <c:v>0.35399999999999998</c:v>
                </c:pt>
                <c:pt idx="4">
                  <c:v>0.38200000000000001</c:v>
                </c:pt>
                <c:pt idx="5">
                  <c:v>0.34059999999999996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94-4E4C-82EF-644663264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MSE on ETTm2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Difference!$D$3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Difference!$D$10:$D$15</c:f>
              <c:numCache>
                <c:formatCode>General</c:formatCode>
                <c:ptCount val="6"/>
                <c:pt idx="0">
                  <c:v>8.3000000000000004E-2</c:v>
                </c:pt>
                <c:pt idx="1">
                  <c:v>0.109</c:v>
                </c:pt>
                <c:pt idx="2">
                  <c:v>0.125</c:v>
                </c:pt>
                <c:pt idx="3">
                  <c:v>0.17</c:v>
                </c:pt>
                <c:pt idx="4">
                  <c:v>0.22500000000000001</c:v>
                </c:pt>
                <c:pt idx="5">
                  <c:v>0.14199999999999999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8-48E9-95BC-DC5999E525BE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Difference!$E$10:$E$15</c:f>
              <c:numCache>
                <c:formatCode>General</c:formatCode>
                <c:ptCount val="6"/>
                <c:pt idx="0">
                  <c:v>0.1105</c:v>
                </c:pt>
                <c:pt idx="1">
                  <c:v>0.1212</c:v>
                </c:pt>
                <c:pt idx="2">
                  <c:v>0.13389999999999999</c:v>
                </c:pt>
                <c:pt idx="3">
                  <c:v>0.17430000000000001</c:v>
                </c:pt>
                <c:pt idx="4">
                  <c:v>0.24460000000000001</c:v>
                </c:pt>
                <c:pt idx="5">
                  <c:v>0.15690000000000001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8-48E9-95BC-DC5999E525BE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Difference!$G$10:$G$15</c:f>
              <c:numCache>
                <c:formatCode>General</c:formatCode>
                <c:ptCount val="6"/>
                <c:pt idx="0">
                  <c:v>0.10970000000000001</c:v>
                </c:pt>
                <c:pt idx="1">
                  <c:v>0.1293</c:v>
                </c:pt>
                <c:pt idx="2">
                  <c:v>0.14349999999999999</c:v>
                </c:pt>
                <c:pt idx="3">
                  <c:v>0.18329999999999999</c:v>
                </c:pt>
                <c:pt idx="4">
                  <c:v>0.2472</c:v>
                </c:pt>
                <c:pt idx="5">
                  <c:v>0.16259999999999999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88-48E9-95BC-DC5999E52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  <c:max val="0.25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MAE on ETTm2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Difference!$I$3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Difference!$I$10:$I$15</c:f>
              <c:numCache>
                <c:formatCode>General</c:formatCode>
                <c:ptCount val="6"/>
                <c:pt idx="0">
                  <c:v>0.184</c:v>
                </c:pt>
                <c:pt idx="1">
                  <c:v>0.20399999999999999</c:v>
                </c:pt>
                <c:pt idx="2">
                  <c:v>0.214</c:v>
                </c:pt>
                <c:pt idx="3">
                  <c:v>0.251</c:v>
                </c:pt>
                <c:pt idx="4">
                  <c:v>0.29599999999999999</c:v>
                </c:pt>
                <c:pt idx="5">
                  <c:v>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4-416C-915B-87CC76A146AB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Difference!$J$10:$J$15</c:f>
              <c:numCache>
                <c:formatCode>General</c:formatCode>
                <c:ptCount val="6"/>
                <c:pt idx="0">
                  <c:v>0.20910000000000001</c:v>
                </c:pt>
                <c:pt idx="1">
                  <c:v>0.21510000000000001</c:v>
                </c:pt>
                <c:pt idx="2">
                  <c:v>0.22570000000000001</c:v>
                </c:pt>
                <c:pt idx="3">
                  <c:v>0.25559999999999999</c:v>
                </c:pt>
                <c:pt idx="4">
                  <c:v>0.30230000000000001</c:v>
                </c:pt>
                <c:pt idx="5">
                  <c:v>0.24156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4-416C-915B-87CC76A146AB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Difference!$L$10:$L$15</c:f>
              <c:numCache>
                <c:formatCode>General</c:formatCode>
                <c:ptCount val="6"/>
                <c:pt idx="0">
                  <c:v>0.2084</c:v>
                </c:pt>
                <c:pt idx="1">
                  <c:v>0.22509999999999999</c:v>
                </c:pt>
                <c:pt idx="2">
                  <c:v>0.23810000000000001</c:v>
                </c:pt>
                <c:pt idx="3">
                  <c:v>0.26829999999999998</c:v>
                </c:pt>
                <c:pt idx="4">
                  <c:v>0.30480000000000002</c:v>
                </c:pt>
                <c:pt idx="5">
                  <c:v>0.24893999999999999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64-416C-915B-87CC76A14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  <c:max val="0.32000000000000006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MSE on ETTh1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Difference!$D$3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Difference!$D$16:$D$21</c:f>
              <c:numCache>
                <c:formatCode>General</c:formatCode>
                <c:ptCount val="6"/>
                <c:pt idx="0">
                  <c:v>0.28999999999999998</c:v>
                </c:pt>
                <c:pt idx="1">
                  <c:v>0.314</c:v>
                </c:pt>
                <c:pt idx="2">
                  <c:v>0.32500000000000001</c:v>
                </c:pt>
                <c:pt idx="3">
                  <c:v>0.36399999999999999</c:v>
                </c:pt>
                <c:pt idx="4">
                  <c:v>0.42099999999999999</c:v>
                </c:pt>
                <c:pt idx="5">
                  <c:v>0.34300000000000003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0C-4AE5-9A2C-34B1D94E3BEE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Difference!$E$16:$E$21</c:f>
              <c:numCache>
                <c:formatCode>General</c:formatCode>
                <c:ptCount val="6"/>
                <c:pt idx="0">
                  <c:v>0.29220000000000002</c:v>
                </c:pt>
                <c:pt idx="1">
                  <c:v>0.32019999999999998</c:v>
                </c:pt>
                <c:pt idx="2">
                  <c:v>0.33350000000000002</c:v>
                </c:pt>
                <c:pt idx="3">
                  <c:v>0.37230000000000002</c:v>
                </c:pt>
                <c:pt idx="4">
                  <c:v>0.42049999999999998</c:v>
                </c:pt>
                <c:pt idx="5">
                  <c:v>0.34774000000000005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0C-4AE5-9A2C-34B1D94E3BEE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Difference!$G$16:$G$21</c:f>
              <c:numCache>
                <c:formatCode>General</c:formatCode>
                <c:ptCount val="6"/>
                <c:pt idx="0">
                  <c:v>0.31019999999999998</c:v>
                </c:pt>
                <c:pt idx="1">
                  <c:v>0.3337</c:v>
                </c:pt>
                <c:pt idx="2">
                  <c:v>0.34720000000000001</c:v>
                </c:pt>
                <c:pt idx="3">
                  <c:v>0.39369999999999999</c:v>
                </c:pt>
                <c:pt idx="4">
                  <c:v>0.4481</c:v>
                </c:pt>
                <c:pt idx="5">
                  <c:v>0.36657999999999996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0C-4AE5-9A2C-34B1D94E3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  <c:max val="0.45"/>
          <c:min val="0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MAE on ETTh1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Difference!$I$3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Difference!$I$16:$I$21</c:f>
              <c:numCache>
                <c:formatCode>General</c:formatCode>
                <c:ptCount val="6"/>
                <c:pt idx="0">
                  <c:v>0.34599999999999997</c:v>
                </c:pt>
                <c:pt idx="1">
                  <c:v>0.36</c:v>
                </c:pt>
                <c:pt idx="2">
                  <c:v>0.36799999999999999</c:v>
                </c:pt>
                <c:pt idx="3">
                  <c:v>0.39200000000000002</c:v>
                </c:pt>
                <c:pt idx="4">
                  <c:v>0.42199999999999999</c:v>
                </c:pt>
                <c:pt idx="5">
                  <c:v>0.378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A-44CE-90C7-50A193EC970C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Difference!$J$16:$J$21</c:f>
              <c:numCache>
                <c:formatCode>General</c:formatCode>
                <c:ptCount val="6"/>
                <c:pt idx="0">
                  <c:v>0.34470000000000001</c:v>
                </c:pt>
                <c:pt idx="1">
                  <c:v>0.3624</c:v>
                </c:pt>
                <c:pt idx="2">
                  <c:v>0.37059999999999998</c:v>
                </c:pt>
                <c:pt idx="3">
                  <c:v>0.3952</c:v>
                </c:pt>
                <c:pt idx="4">
                  <c:v>0.42509999999999998</c:v>
                </c:pt>
                <c:pt idx="5">
                  <c:v>0.37960000000000005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3A-44CE-90C7-50A193EC970C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Difference!$L$16:$L$21</c:f>
              <c:numCache>
                <c:formatCode>General</c:formatCode>
                <c:ptCount val="6"/>
                <c:pt idx="0">
                  <c:v>0.36030000000000001</c:v>
                </c:pt>
                <c:pt idx="1">
                  <c:v>0.37380000000000002</c:v>
                </c:pt>
                <c:pt idx="2">
                  <c:v>0.38269999999999998</c:v>
                </c:pt>
                <c:pt idx="3">
                  <c:v>0.40910000000000002</c:v>
                </c:pt>
                <c:pt idx="4">
                  <c:v>0.43859999999999999</c:v>
                </c:pt>
                <c:pt idx="5">
                  <c:v>0.39290000000000003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3A-44CE-90C7-50A193EC9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  <c:max val="0.45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  <c:majorUnit val="2.5000000000000005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MSE on ETTh2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Difference!$D$3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Difference!$D$22:$D$27</c:f>
              <c:numCache>
                <c:formatCode>General</c:formatCode>
                <c:ptCount val="6"/>
                <c:pt idx="0">
                  <c:v>0.16700000000000001</c:v>
                </c:pt>
                <c:pt idx="1">
                  <c:v>0.2</c:v>
                </c:pt>
                <c:pt idx="2">
                  <c:v>0.22</c:v>
                </c:pt>
                <c:pt idx="3">
                  <c:v>0.27800000000000002</c:v>
                </c:pt>
                <c:pt idx="4">
                  <c:v>0.35599999999999998</c:v>
                </c:pt>
                <c:pt idx="5">
                  <c:v>0.245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4F-4031-BE6C-6DCCDC180EBD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Difference!$E$22:$E$27</c:f>
              <c:numCache>
                <c:formatCode>General</c:formatCode>
                <c:ptCount val="6"/>
                <c:pt idx="0">
                  <c:v>0.18240000000000001</c:v>
                </c:pt>
                <c:pt idx="1">
                  <c:v>0.21809999999999999</c:v>
                </c:pt>
                <c:pt idx="2">
                  <c:v>0.24709999999999999</c:v>
                </c:pt>
                <c:pt idx="3">
                  <c:v>0.30259999999999998</c:v>
                </c:pt>
                <c:pt idx="4">
                  <c:v>0.37319999999999998</c:v>
                </c:pt>
                <c:pt idx="5">
                  <c:v>0.26467999999999997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4F-4031-BE6C-6DCCDC180EBD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Difference!$G$22:$G$27</c:f>
              <c:numCache>
                <c:formatCode>General</c:formatCode>
                <c:ptCount val="6"/>
                <c:pt idx="0">
                  <c:v>0.18210000000000001</c:v>
                </c:pt>
                <c:pt idx="1">
                  <c:v>0.21229999999999999</c:v>
                </c:pt>
                <c:pt idx="2">
                  <c:v>0.23830000000000001</c:v>
                </c:pt>
                <c:pt idx="3">
                  <c:v>0.29959999999999998</c:v>
                </c:pt>
                <c:pt idx="4">
                  <c:v>0.38200000000000001</c:v>
                </c:pt>
                <c:pt idx="5">
                  <c:v>0.26285999999999998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4F-4031-BE6C-6DCCDC180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  <c:min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MAE on ETTh2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Difference!$I$3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Difference!$I$22:$I$27</c:f>
              <c:numCache>
                <c:formatCode>General</c:formatCode>
                <c:ptCount val="6"/>
                <c:pt idx="0">
                  <c:v>0.25900000000000001</c:v>
                </c:pt>
                <c:pt idx="1">
                  <c:v>0.27200000000000002</c:v>
                </c:pt>
                <c:pt idx="2">
                  <c:v>0.29399999999999998</c:v>
                </c:pt>
                <c:pt idx="3">
                  <c:v>0.33200000000000002</c:v>
                </c:pt>
                <c:pt idx="4">
                  <c:v>0.38100000000000001</c:v>
                </c:pt>
                <c:pt idx="5">
                  <c:v>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E-41F7-A53B-744091104184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Difference!$J$22:$J$27</c:f>
              <c:numCache>
                <c:formatCode>General</c:formatCode>
                <c:ptCount val="6"/>
                <c:pt idx="0">
                  <c:v>0.26929999999999998</c:v>
                </c:pt>
                <c:pt idx="1">
                  <c:v>0.29210000000000003</c:v>
                </c:pt>
                <c:pt idx="2">
                  <c:v>0.3105</c:v>
                </c:pt>
                <c:pt idx="3">
                  <c:v>0.34689999999999999</c:v>
                </c:pt>
                <c:pt idx="4">
                  <c:v>0.39200000000000002</c:v>
                </c:pt>
                <c:pt idx="5">
                  <c:v>0.32215999999999995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AE-41F7-A53B-744091104184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Difference!$L$22:$L$27</c:f>
              <c:numCache>
                <c:formatCode>General</c:formatCode>
                <c:ptCount val="6"/>
                <c:pt idx="0">
                  <c:v>0.2707</c:v>
                </c:pt>
                <c:pt idx="1">
                  <c:v>0.28939999999999999</c:v>
                </c:pt>
                <c:pt idx="2">
                  <c:v>0.30719999999999997</c:v>
                </c:pt>
                <c:pt idx="3">
                  <c:v>0.34520000000000001</c:v>
                </c:pt>
                <c:pt idx="4">
                  <c:v>0.3977</c:v>
                </c:pt>
                <c:pt idx="5">
                  <c:v>0.32203999999999999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AE-41F7-A53B-744091104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  <c:max val="0.4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MSE on Weather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Difference!$D$3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Difference!$D$28:$D$33</c:f>
              <c:numCache>
                <c:formatCode>General</c:formatCode>
                <c:ptCount val="6"/>
                <c:pt idx="0">
                  <c:v>0.10100000000000001</c:v>
                </c:pt>
                <c:pt idx="1">
                  <c:v>0.11899999999999999</c:v>
                </c:pt>
                <c:pt idx="2">
                  <c:v>0.13</c:v>
                </c:pt>
                <c:pt idx="3">
                  <c:v>0.16300000000000001</c:v>
                </c:pt>
                <c:pt idx="4">
                  <c:v>0.20799999999999999</c:v>
                </c:pt>
                <c:pt idx="5">
                  <c:v>0.14399999999999999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07-42B4-8761-E290D7458F60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Difference!$E$28:$E$33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07-42B4-8761-E290D7458F60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Difference!$G$28:$G$33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07-42B4-8761-E290D7458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MAE on Weather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Difference!$I$3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Difference!$I$28:$I$33</c:f>
              <c:numCache>
                <c:formatCode>General</c:formatCode>
                <c:ptCount val="6"/>
                <c:pt idx="0">
                  <c:v>0.13100000000000001</c:v>
                </c:pt>
                <c:pt idx="1">
                  <c:v>0.15</c:v>
                </c:pt>
                <c:pt idx="2">
                  <c:v>0.16600000000000001</c:v>
                </c:pt>
                <c:pt idx="3">
                  <c:v>0.20699999999999999</c:v>
                </c:pt>
                <c:pt idx="4">
                  <c:v>0.247</c:v>
                </c:pt>
                <c:pt idx="5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A-49AF-8A91-D826D83E5E9A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Difference!$J$28:$J$33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4A-49AF-8A91-D826D83E5E9A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Difference!$L$28:$L$33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4A-49AF-8A91-D826D83E5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MSE on Exchange Rate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Paper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(Difference!$C$34:$C$37,Difference!$C$39)</c:f>
              <c:strCache>
                <c:ptCount val="5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Avg</c:v>
                </c:pt>
              </c:strCache>
            </c:strRef>
          </c:cat>
          <c:val>
            <c:numRef>
              <c:f>(Difference!$D$34:$D$37,Difference!$D$39)</c:f>
              <c:numCache>
                <c:formatCode>General</c:formatCode>
                <c:ptCount val="5"/>
                <c:pt idx="0">
                  <c:v>2.1999999999999999E-2</c:v>
                </c:pt>
                <c:pt idx="1">
                  <c:v>3.1E-2</c:v>
                </c:pt>
                <c:pt idx="2">
                  <c:v>4.1000000000000002E-2</c:v>
                </c:pt>
                <c:pt idx="3">
                  <c:v>8.2000000000000003E-2</c:v>
                </c:pt>
                <c:pt idx="4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7-4D3A-969B-77DD97714F0D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(Difference!$C$34:$C$37,Difference!$C$39)</c:f>
              <c:strCache>
                <c:ptCount val="5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Avg</c:v>
                </c:pt>
              </c:strCache>
            </c:strRef>
          </c:cat>
          <c:val>
            <c:numRef>
              <c:f>(Difference!$E$34:$E$37,Difference!$E$39)</c:f>
              <c:numCache>
                <c:formatCode>General</c:formatCode>
                <c:ptCount val="5"/>
                <c:pt idx="0">
                  <c:v>3.85E-2</c:v>
                </c:pt>
                <c:pt idx="1">
                  <c:v>4.9799999999999997E-2</c:v>
                </c:pt>
                <c:pt idx="2">
                  <c:v>6.2700000000000006E-2</c:v>
                </c:pt>
                <c:pt idx="3">
                  <c:v>8.9200000000000002E-2</c:v>
                </c:pt>
                <c:pt idx="4">
                  <c:v>8.9279999999999998E-2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7-4D3A-969B-77DD97714F0D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(Difference!$C$34:$C$37,Difference!$C$39)</c:f>
              <c:strCache>
                <c:ptCount val="5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Avg</c:v>
                </c:pt>
              </c:strCache>
            </c:strRef>
          </c:cat>
          <c:val>
            <c:numRef>
              <c:f>(Difference!$G$34:$G$37,Difference!$G$39)</c:f>
              <c:numCache>
                <c:formatCode>General</c:formatCode>
                <c:ptCount val="5"/>
                <c:pt idx="0">
                  <c:v>2.5399999999999999E-2</c:v>
                </c:pt>
                <c:pt idx="1">
                  <c:v>3.5099999999999999E-2</c:v>
                </c:pt>
                <c:pt idx="2">
                  <c:v>4.3299999999999998E-2</c:v>
                </c:pt>
                <c:pt idx="3">
                  <c:v>8.2600000000000007E-2</c:v>
                </c:pt>
                <c:pt idx="4">
                  <c:v>7.3140000000000011E-2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7-4D3A-969B-77DD97714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2000" b="1"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MAE on Exchange Rate dataset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Difference!$I$3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Difference!$I$34:$I$39</c:f>
              <c:numCache>
                <c:formatCode>General</c:formatCode>
                <c:ptCount val="6"/>
                <c:pt idx="0">
                  <c:v>0.104</c:v>
                </c:pt>
                <c:pt idx="1">
                  <c:v>0.124</c:v>
                </c:pt>
                <c:pt idx="2">
                  <c:v>0.14199999999999999</c:v>
                </c:pt>
                <c:pt idx="3">
                  <c:v>0.20200000000000001</c:v>
                </c:pt>
                <c:pt idx="4">
                  <c:v>0.29599999999999999</c:v>
                </c:pt>
                <c:pt idx="5">
                  <c:v>0.17399999999999999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7-4919-A286-D5007F726169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Difference!$C$4:$C$9</c:f>
              <c:strCache>
                <c:ptCount val="6"/>
                <c:pt idx="0">
                  <c:v>24</c:v>
                </c:pt>
                <c:pt idx="1">
                  <c:v>36</c:v>
                </c:pt>
                <c:pt idx="2">
                  <c:v>48</c:v>
                </c:pt>
                <c:pt idx="3">
                  <c:v>96</c:v>
                </c:pt>
                <c:pt idx="4">
                  <c:v>192</c:v>
                </c:pt>
                <c:pt idx="5">
                  <c:v>Avg</c:v>
                </c:pt>
              </c:strCache>
            </c:strRef>
          </c:cat>
          <c:val>
            <c:numRef>
              <c:f>Difference!$J$34:$J$39</c:f>
              <c:numCache>
                <c:formatCode>General</c:formatCode>
                <c:ptCount val="6"/>
                <c:pt idx="0">
                  <c:v>0.14069999999999999</c:v>
                </c:pt>
                <c:pt idx="1">
                  <c:v>0.1598</c:v>
                </c:pt>
                <c:pt idx="2">
                  <c:v>0.17929999999999999</c:v>
                </c:pt>
                <c:pt idx="3">
                  <c:v>0.20810000000000001</c:v>
                </c:pt>
                <c:pt idx="4">
                  <c:v>0.32319999999999999</c:v>
                </c:pt>
                <c:pt idx="5">
                  <c:v>0.20221999999999998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97-4919-A286-D5007F726169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Difference!$L$34:$L$39</c:f>
              <c:numCache>
                <c:formatCode>General</c:formatCode>
                <c:ptCount val="6"/>
                <c:pt idx="0">
                  <c:v>0.11020000000000001</c:v>
                </c:pt>
                <c:pt idx="1">
                  <c:v>0.13139999999999999</c:v>
                </c:pt>
                <c:pt idx="2">
                  <c:v>0.1462</c:v>
                </c:pt>
                <c:pt idx="3">
                  <c:v>0.2016</c:v>
                </c:pt>
                <c:pt idx="4">
                  <c:v>0.30009999999999998</c:v>
                </c:pt>
                <c:pt idx="5">
                  <c:v>0.1779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97-4919-A286-D5007F726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205695"/>
        <c:axId val="2089206175"/>
      </c:barChart>
      <c:catAx>
        <c:axId val="208920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6175"/>
        <c:crosses val="autoZero"/>
        <c:auto val="1"/>
        <c:lblAlgn val="ctr"/>
        <c:lblOffset val="100"/>
        <c:noMultiLvlLbl val="0"/>
      </c:catAx>
      <c:valAx>
        <c:axId val="2089206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208920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altLang="ko-KR" sz="2000" b="1">
                <a:solidFill>
                  <a:schemeClr val="tx1"/>
                </a:solidFill>
                <a:latin typeface="Calibri" panose="020F0502020204030204" pitchFamily="34" charset="0"/>
                <a:cs typeface="Calibri" panose="020F0502020204030204" pitchFamily="34" charset="0"/>
              </a:rPr>
              <a:t>MSE on Exchange Rate database </a:t>
            </a:r>
            <a:endParaRPr lang="ko-KR" altLang="en-US" sz="2000" b="1">
              <a:solidFill>
                <a:schemeClr val="tx1"/>
              </a:solidFill>
              <a:latin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Paper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192</c:v>
              </c:pt>
            </c:strLit>
          </c:cat>
          <c:val>
            <c:numRef>
              <c:f>Difference!$D$38</c:f>
              <c:numCache>
                <c:formatCode>General</c:formatCode>
                <c:ptCount val="1"/>
                <c:pt idx="0">
                  <c:v>0.17299999999999999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9A-4BE2-BF3C-FD35B96B6738}"/>
            </c:ext>
          </c:extLst>
        </c:ser>
        <c:ser>
          <c:idx val="1"/>
          <c:order val="1"/>
          <c:tx>
            <c:v>Reproduce_1e-4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Difference!$E$38</c:f>
              <c:numCache>
                <c:formatCode>General</c:formatCode>
                <c:ptCount val="1"/>
                <c:pt idx="0">
                  <c:v>0.20619999999999999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9A-4BE2-BF3C-FD35B96B6738}"/>
            </c:ext>
          </c:extLst>
        </c:ser>
        <c:ser>
          <c:idx val="2"/>
          <c:order val="2"/>
          <c:tx>
            <c:v>Reproduce_1e-5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Difference!$G$38</c:f>
              <c:numCache>
                <c:formatCode>General</c:formatCode>
                <c:ptCount val="1"/>
                <c:pt idx="0">
                  <c:v>0.17929999999999999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9A-4BE2-BF3C-FD35B96B6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6761295"/>
        <c:axId val="1746760815"/>
      </c:barChart>
      <c:catAx>
        <c:axId val="174676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746760815"/>
        <c:crosses val="autoZero"/>
        <c:auto val="1"/>
        <c:lblAlgn val="ctr"/>
        <c:lblOffset val="100"/>
        <c:noMultiLvlLbl val="0"/>
      </c:catAx>
      <c:valAx>
        <c:axId val="174676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ko-KR"/>
          </a:p>
        </c:txPr>
        <c:crossAx val="174676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171451</xdr:colOff>
      <xdr:row>1</xdr:row>
      <xdr:rowOff>0</xdr:rowOff>
    </xdr:from>
    <xdr:to>
      <xdr:col>20</xdr:col>
      <xdr:colOff>514351</xdr:colOff>
      <xdr:row>9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3E6C523-E26D-52D6-3F9A-1992928F4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542925</xdr:colOff>
      <xdr:row>1</xdr:row>
      <xdr:rowOff>0</xdr:rowOff>
    </xdr:from>
    <xdr:to>
      <xdr:col>28</xdr:col>
      <xdr:colOff>200025</xdr:colOff>
      <xdr:row>9</xdr:row>
      <xdr:rowOff>209550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C9F087B-311E-4419-A380-99D4C30B5D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180975</xdr:colOff>
      <xdr:row>9</xdr:row>
      <xdr:rowOff>295275</xdr:rowOff>
    </xdr:from>
    <xdr:to>
      <xdr:col>20</xdr:col>
      <xdr:colOff>523875</xdr:colOff>
      <xdr:row>19</xdr:row>
      <xdr:rowOff>28575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40D719D-431F-429C-99F2-A68A471AB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552449</xdr:colOff>
      <xdr:row>9</xdr:row>
      <xdr:rowOff>295275</xdr:rowOff>
    </xdr:from>
    <xdr:to>
      <xdr:col>28</xdr:col>
      <xdr:colOff>209549</xdr:colOff>
      <xdr:row>19</xdr:row>
      <xdr:rowOff>28575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6F73E429-187F-49E2-A3F1-E0813BF59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180975</xdr:colOff>
      <xdr:row>19</xdr:row>
      <xdr:rowOff>104775</xdr:rowOff>
    </xdr:from>
    <xdr:to>
      <xdr:col>20</xdr:col>
      <xdr:colOff>523875</xdr:colOff>
      <xdr:row>28</xdr:row>
      <xdr:rowOff>152400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D305553-69E3-45E4-924B-DC73DBD0F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552449</xdr:colOff>
      <xdr:row>19</xdr:row>
      <xdr:rowOff>104775</xdr:rowOff>
    </xdr:from>
    <xdr:to>
      <xdr:col>28</xdr:col>
      <xdr:colOff>209549</xdr:colOff>
      <xdr:row>28</xdr:row>
      <xdr:rowOff>152400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BFC09912-D62C-4924-8D20-A90C58403E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171450</xdr:colOff>
      <xdr:row>28</xdr:row>
      <xdr:rowOff>200025</xdr:rowOff>
    </xdr:from>
    <xdr:to>
      <xdr:col>20</xdr:col>
      <xdr:colOff>514350</xdr:colOff>
      <xdr:row>37</xdr:row>
      <xdr:rowOff>247650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91E87B58-A6E1-46EC-9247-91157CBCA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542924</xdr:colOff>
      <xdr:row>28</xdr:row>
      <xdr:rowOff>200025</xdr:rowOff>
    </xdr:from>
    <xdr:to>
      <xdr:col>28</xdr:col>
      <xdr:colOff>200024</xdr:colOff>
      <xdr:row>37</xdr:row>
      <xdr:rowOff>247650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51B6A702-F74E-4EA0-8988-E99E7E54C9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85724</xdr:colOff>
      <xdr:row>39</xdr:row>
      <xdr:rowOff>142875</xdr:rowOff>
    </xdr:from>
    <xdr:to>
      <xdr:col>6</xdr:col>
      <xdr:colOff>781049</xdr:colOff>
      <xdr:row>48</xdr:row>
      <xdr:rowOff>190500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9ACB8A4-A749-42E3-AF40-D81C1B95D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76200</xdr:colOff>
      <xdr:row>39</xdr:row>
      <xdr:rowOff>161925</xdr:rowOff>
    </xdr:from>
    <xdr:to>
      <xdr:col>13</xdr:col>
      <xdr:colOff>66674</xdr:colOff>
      <xdr:row>48</xdr:row>
      <xdr:rowOff>209550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90D497A4-DF50-4D46-9119-5552CAB3F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47625</xdr:colOff>
      <xdr:row>39</xdr:row>
      <xdr:rowOff>133350</xdr:rowOff>
    </xdr:from>
    <xdr:to>
      <xdr:col>20</xdr:col>
      <xdr:colOff>390525</xdr:colOff>
      <xdr:row>48</xdr:row>
      <xdr:rowOff>180975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5B4F7949-A6D5-4CA9-B694-6FA0A1448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20</xdr:col>
      <xdr:colOff>438150</xdr:colOff>
      <xdr:row>39</xdr:row>
      <xdr:rowOff>114300</xdr:rowOff>
    </xdr:from>
    <xdr:to>
      <xdr:col>27</xdr:col>
      <xdr:colOff>485774</xdr:colOff>
      <xdr:row>48</xdr:row>
      <xdr:rowOff>161925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F518EC45-784C-4143-92DA-E3A823C66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90487</xdr:colOff>
      <xdr:row>48</xdr:row>
      <xdr:rowOff>295275</xdr:rowOff>
    </xdr:from>
    <xdr:to>
      <xdr:col>20</xdr:col>
      <xdr:colOff>333375</xdr:colOff>
      <xdr:row>58</xdr:row>
      <xdr:rowOff>276225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DDDD2FF2-589A-5FB2-E4C8-0A5D5DD230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FC5B56-6D09-41AF-A3DF-D4F0688AB545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D152775-BEEF-4267-9351-02EC9DCA287B}" autoFormatId="16" applyNumberFormats="0" applyBorderFormats="0" applyFontFormats="0" applyPatternFormats="0" applyAlignmentFormats="0" applyWidthHeightFormats="0">
  <queryTableRefresh nextId="16">
    <queryTableFields count="3">
      <queryTableField id="1" name="Column1" tableColumnId="1"/>
      <queryTableField id="2" name="Column2" tableColumnId="2"/>
      <queryTableField id="3" name="Column3" tableColumnId="3"/>
    </queryTableFields>
    <queryTableDeletedFields count="12">
      <deletedField name="Column4"/>
      <deletedField name="Column5"/>
      <deletedField name="Column6"/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</queryTableDeleted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8E161-66BF-428E-947E-558356EE733E}" name="Table044__Page_9" displayName="Table044__Page_9" ref="B1:Q39" totalsRowShown="0" dataDxfId="49" tableBorderDxfId="48">
  <autoFilter ref="B1:Q39" xr:uid="{9768E161-66BF-428E-947E-558356EE733E}"/>
  <tableColumns count="16">
    <tableColumn id="1" xr3:uid="{61B07A21-DFAA-4034-9BF7-45DCBEA0F645}" name="Column1" dataDxfId="47"/>
    <tableColumn id="2" xr3:uid="{121888F8-3E57-41CB-B9FA-12CD95D2D944}" name="Column2" dataDxfId="46"/>
    <tableColumn id="3" xr3:uid="{06BD8469-62A7-4A2C-A2A9-3C82EEC6D7F1}" name="Column3" dataDxfId="45"/>
    <tableColumn id="4" xr3:uid="{9B17CC84-5EC0-4AB7-9C28-F1CD90423480}" name="Column4" dataDxfId="44"/>
    <tableColumn id="5" xr3:uid="{CBEBA147-2199-473C-A6C6-D35EBEC07491}" name="Column5" dataDxfId="43"/>
    <tableColumn id="6" xr3:uid="{B7FDFFD8-086E-4AE8-B2F6-1FB796532AFE}" name="Column6" dataDxfId="42"/>
    <tableColumn id="7" xr3:uid="{106F7CA9-9808-42CE-8002-2B9EEBEBD819}" name="Column7" dataDxfId="41"/>
    <tableColumn id="8" xr3:uid="{1E27E06C-C951-402D-936A-748880669EA2}" name="Column8" dataDxfId="40"/>
    <tableColumn id="9" xr3:uid="{890EEFB4-0640-4997-BB43-A3E5678EDC5F}" name="Column9" dataDxfId="39"/>
    <tableColumn id="10" xr3:uid="{BE017120-047C-4198-9803-AE9361E64103}" name="Column10" dataDxfId="38"/>
    <tableColumn id="11" xr3:uid="{F3A8776E-5FF3-47CA-B1F1-3FFA4AECE672}" name="Column11" dataDxfId="37"/>
    <tableColumn id="12" xr3:uid="{12B68D8B-F4A2-4314-9471-2A98774B5B4B}" name="Column12" dataDxfId="36"/>
    <tableColumn id="13" xr3:uid="{A41057E4-C6FD-4CF7-9C54-473501BCD4CC}" name="Column13" dataDxfId="35"/>
    <tableColumn id="14" xr3:uid="{AA5E334E-A59D-46A2-940D-08D31683836A}" name="Column14" dataDxfId="34"/>
    <tableColumn id="15" xr3:uid="{9B78F66A-A8D0-4623-B893-2C96C7A468B4}" name="Column15" dataDxfId="33"/>
    <tableColumn id="16" xr3:uid="{8D480FCC-F39F-4D6C-9C36-CDA55CAB18AC}" name="Column16" dataDxfId="3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C717B6-5E91-492D-923A-0B2BB8189DB4}" name="Table044__Page_947" displayName="Table044__Page_947" ref="B1:E39" totalsRowShown="0" dataDxfId="31" tableBorderDxfId="30">
  <autoFilter ref="B1:E39" xr:uid="{9768E161-66BF-428E-947E-558356EE733E}"/>
  <tableColumns count="4">
    <tableColumn id="1" xr3:uid="{52035ADF-1EB8-4868-A411-0ADB34F36269}" name="Column1" dataDxfId="29"/>
    <tableColumn id="2" xr3:uid="{7AD8FD08-095D-45FD-889F-0E1BC8F18256}" name="Column2" dataDxfId="28"/>
    <tableColumn id="3" xr3:uid="{FF24562E-87DE-4DFF-A6D8-71EFB15A8591}" name="Column3" dataDxfId="27"/>
    <tableColumn id="4" xr3:uid="{900778E3-C301-4D01-81A9-857188EA2187}" name="Column4" dataDxf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545CB5-2EB8-422F-918D-434B81747CFB}" name="Table044__Page_94" displayName="Table044__Page_94" ref="B1:E39" totalsRowShown="0" dataDxfId="25" tableBorderDxfId="24">
  <autoFilter ref="B1:E39" xr:uid="{9768E161-66BF-428E-947E-558356EE733E}"/>
  <tableColumns count="4">
    <tableColumn id="1" xr3:uid="{5464F6FC-9D81-48BF-91E1-B36A09138240}" name="Column1" dataDxfId="23"/>
    <tableColumn id="2" xr3:uid="{13780DBC-1840-44B6-8DA5-F210A52352C1}" name="Column2" dataDxfId="22"/>
    <tableColumn id="3" xr3:uid="{0ACBDCE6-5F75-4C92-B811-AD9234E99A15}" name="Column3" dataDxfId="21"/>
    <tableColumn id="4" xr3:uid="{DD12EACC-DE01-4DDA-96E3-B73C4EDB2327}" name="Column4" dataDxfId="2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4C9F3-17AD-44A3-B346-852EA5E7750B}" name="Table045__Page_9" displayName="Table045__Page_9" ref="B1:P5" tableType="queryTable" totalsRowShown="0" dataDxfId="19">
  <autoFilter ref="B1:P5" xr:uid="{29F4C9F3-17AD-44A3-B346-852EA5E7750B}"/>
  <tableColumns count="15">
    <tableColumn id="1" xr3:uid="{9F157EEE-12B7-4361-8839-F11C17E5F2D0}" uniqueName="1" name="Column1" queryTableFieldId="1" dataDxfId="18"/>
    <tableColumn id="2" xr3:uid="{408695DE-4A67-4CC9-B25A-3FD3BC72C733}" uniqueName="2" name="Column2" queryTableFieldId="2" dataDxfId="17"/>
    <tableColumn id="3" xr3:uid="{7C4F7A8A-5749-45EC-81E9-449031EE889A}" uniqueName="3" name="Column3" queryTableFieldId="3" dataDxfId="16"/>
    <tableColumn id="4" xr3:uid="{C0DC66B1-4ADF-4555-AA4F-CB069D27EED9}" uniqueName="4" name="Column4" queryTableFieldId="4" dataDxfId="15"/>
    <tableColumn id="5" xr3:uid="{FDF6A9AC-9AB7-4E44-8FFF-BC54FE5257A5}" uniqueName="5" name="Column5" queryTableFieldId="5" dataDxfId="14"/>
    <tableColumn id="6" xr3:uid="{055B0386-DEA1-457D-A410-CFA39780C7AA}" uniqueName="6" name="Column6" queryTableFieldId="6" dataDxfId="13"/>
    <tableColumn id="7" xr3:uid="{044BA55C-DFE1-4745-B403-F5FF49C01410}" uniqueName="7" name="Column7" queryTableFieldId="7" dataDxfId="12"/>
    <tableColumn id="8" xr3:uid="{50218464-BFC4-4B55-ABFB-22618B38712D}" uniqueName="8" name="Column8" queryTableFieldId="8" dataDxfId="11"/>
    <tableColumn id="9" xr3:uid="{0D59C20C-0E2B-4235-94C6-C1CE128ED268}" uniqueName="9" name="Column9" queryTableFieldId="9" dataDxfId="10"/>
    <tableColumn id="10" xr3:uid="{1B3E5945-6D1A-49DC-9712-7DBB1B30470D}" uniqueName="10" name="Column10" queryTableFieldId="10" dataDxfId="9"/>
    <tableColumn id="11" xr3:uid="{987618CE-5112-4829-9CA9-E41175E7C9FE}" uniqueName="11" name="Column11" queryTableFieldId="11" dataDxfId="8"/>
    <tableColumn id="12" xr3:uid="{F91C5D01-1605-4A97-9282-38592393841E}" uniqueName="12" name="Column12" queryTableFieldId="12" dataDxfId="7"/>
    <tableColumn id="13" xr3:uid="{E1906B44-2346-4933-9A1B-2BC24288BB22}" uniqueName="13" name="Column13" queryTableFieldId="13" dataDxfId="6"/>
    <tableColumn id="14" xr3:uid="{22A051B1-FF0F-44DA-9C8C-E24DF0A024AF}" uniqueName="14" name="Column14" queryTableFieldId="14" dataDxfId="5"/>
    <tableColumn id="15" xr3:uid="{C6FC47BF-B97A-4C05-B726-583DAB46DC03}" uniqueName="15" name="Column15" queryTableFieldId="15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84CBE99-7CF7-424D-94F0-74187A6EAA8A}" name="Table045__Page_96" displayName="Table045__Page_96" ref="B1:D5" tableType="queryTable" totalsRowShown="0" dataDxfId="3">
  <autoFilter ref="B1:D5" xr:uid="{784CBE99-7CF7-424D-94F0-74187A6EAA8A}"/>
  <tableColumns count="3">
    <tableColumn id="1" xr3:uid="{A0BF7FC0-8647-4945-87BC-DDA16B97439E}" uniqueName="1" name="Column1" queryTableFieldId="1" dataDxfId="2"/>
    <tableColumn id="2" xr3:uid="{5EA1ACB5-EE1F-4001-8F88-8D2CAC138C57}" uniqueName="2" name="Column2" queryTableFieldId="2" dataDxfId="1"/>
    <tableColumn id="3" xr3:uid="{44CB4CFC-93F7-4A3F-8362-26B6826401B6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C04F-0230-4769-88AC-6190F7111FA6}">
  <dimension ref="B1:N39"/>
  <sheetViews>
    <sheetView tabSelected="1" zoomScale="85" zoomScaleNormal="85" workbookViewId="0">
      <selection activeCell="B2" sqref="B2:C2"/>
    </sheetView>
  </sheetViews>
  <sheetFormatPr defaultRowHeight="24.95" customHeight="1" x14ac:dyDescent="0.3"/>
  <cols>
    <col min="1" max="1" width="1.625" style="5" customWidth="1"/>
    <col min="2" max="13" width="10.625" style="5" customWidth="1"/>
    <col min="14" max="16384" width="9" style="5"/>
  </cols>
  <sheetData>
    <row r="1" spans="2:14" ht="15" customHeight="1" thickBot="1" x14ac:dyDescent="0.35"/>
    <row r="2" spans="2:14" ht="24.95" customHeight="1" x14ac:dyDescent="0.3">
      <c r="B2" s="56"/>
      <c r="C2" s="57"/>
      <c r="D2" s="53" t="s">
        <v>65</v>
      </c>
      <c r="E2" s="54"/>
      <c r="F2" s="54"/>
      <c r="G2" s="54"/>
      <c r="H2" s="55"/>
      <c r="I2" s="54" t="s">
        <v>66</v>
      </c>
      <c r="J2" s="54"/>
      <c r="K2" s="54"/>
      <c r="L2" s="54"/>
      <c r="M2" s="55"/>
      <c r="N2"/>
    </row>
    <row r="3" spans="2:14" ht="36.75" customHeight="1" thickBot="1" x14ac:dyDescent="0.35">
      <c r="B3" s="33" t="s">
        <v>63</v>
      </c>
      <c r="C3" s="37" t="s">
        <v>71</v>
      </c>
      <c r="D3" s="48" t="s">
        <v>64</v>
      </c>
      <c r="E3" s="42" t="s">
        <v>67</v>
      </c>
      <c r="F3" s="43" t="s">
        <v>68</v>
      </c>
      <c r="G3" s="36" t="s">
        <v>69</v>
      </c>
      <c r="H3" s="37" t="s">
        <v>70</v>
      </c>
      <c r="I3" s="48" t="s">
        <v>64</v>
      </c>
      <c r="J3" s="36" t="s">
        <v>67</v>
      </c>
      <c r="K3" s="43" t="s">
        <v>68</v>
      </c>
      <c r="L3" s="36" t="s">
        <v>69</v>
      </c>
      <c r="M3" s="37" t="s">
        <v>70</v>
      </c>
    </row>
    <row r="4" spans="2:14" ht="24.95" customHeight="1" x14ac:dyDescent="0.3">
      <c r="B4" s="28" t="s">
        <v>27</v>
      </c>
      <c r="C4" s="38">
        <v>24</v>
      </c>
      <c r="D4" s="49">
        <f>Table044__Page_9[[#This Row],[Column3]]</f>
        <v>0.20200000000000001</v>
      </c>
      <c r="E4" s="29">
        <f>Table044__Page_947[[#This Row],[Column3]]</f>
        <v>0.2137</v>
      </c>
      <c r="F4" s="44">
        <f>E4-D4</f>
        <v>1.1699999999999988E-2</v>
      </c>
      <c r="G4" s="29">
        <f>Table044__Page_94[[#This Row],[Column3]]</f>
        <v>0.22159999999999999</v>
      </c>
      <c r="H4" s="38">
        <f>G4-D4</f>
        <v>1.9599999999999979E-2</v>
      </c>
      <c r="I4" s="49">
        <f>Table044__Page_9[[#This Row],[Column4]]</f>
        <v>0.25800000000000001</v>
      </c>
      <c r="J4" s="29">
        <f>Table044__Page_947[[#This Row],[Column4]]</f>
        <v>0.2853</v>
      </c>
      <c r="K4" s="44">
        <f>J4-I4</f>
        <v>2.7299999999999991E-2</v>
      </c>
      <c r="L4" s="29">
        <f>Table044__Page_94[[#This Row],[Column4]]</f>
        <v>0.29659999999999997</v>
      </c>
      <c r="M4" s="38">
        <f>L4-I4</f>
        <v>3.8599999999999968E-2</v>
      </c>
    </row>
    <row r="5" spans="2:14" ht="24.95" customHeight="1" x14ac:dyDescent="0.3">
      <c r="B5" s="30" t="s">
        <v>27</v>
      </c>
      <c r="C5" s="32">
        <v>36</v>
      </c>
      <c r="D5" s="50">
        <f>Table044__Page_9[[#This Row],[Column3]]</f>
        <v>0.25900000000000001</v>
      </c>
      <c r="E5" s="31">
        <f>Table044__Page_947[[#This Row],[Column3]]</f>
        <v>0.247</v>
      </c>
      <c r="F5" s="45">
        <f t="shared" ref="F5:F39" si="0">E5-D5</f>
        <v>-1.2000000000000011E-2</v>
      </c>
      <c r="G5" s="31">
        <f>Table044__Page_94[[#This Row],[Column3]]</f>
        <v>0.28420000000000001</v>
      </c>
      <c r="H5" s="32">
        <f t="shared" ref="H5:H39" si="1">G5-D5</f>
        <v>2.52E-2</v>
      </c>
      <c r="I5" s="50">
        <f>Table044__Page_9[[#This Row],[Column4]]</f>
        <v>0.30199999999999999</v>
      </c>
      <c r="J5" s="31">
        <f>Table044__Page_947[[#This Row],[Column4]]</f>
        <v>0.30180000000000001</v>
      </c>
      <c r="K5" s="45">
        <f t="shared" ref="K5:K39" si="2">J5-I5</f>
        <v>-1.9999999999997797E-4</v>
      </c>
      <c r="L5" s="31">
        <f>Table044__Page_94[[#This Row],[Column4]]</f>
        <v>0.33479999999999999</v>
      </c>
      <c r="M5" s="32">
        <f t="shared" ref="M5:M39" si="3">L5-I5</f>
        <v>3.2799999999999996E-2</v>
      </c>
    </row>
    <row r="6" spans="2:14" ht="24.95" customHeight="1" x14ac:dyDescent="0.3">
      <c r="B6" s="30" t="s">
        <v>27</v>
      </c>
      <c r="C6" s="32">
        <v>48</v>
      </c>
      <c r="D6" s="50">
        <f>Table044__Page_9[[#This Row],[Column3]]</f>
        <v>0.27200000000000002</v>
      </c>
      <c r="E6" s="31">
        <f>Table044__Page_947[[#This Row],[Column3]]</f>
        <v>0.26979999999999998</v>
      </c>
      <c r="F6" s="45">
        <f t="shared" si="0"/>
        <v>-2.2000000000000353E-3</v>
      </c>
      <c r="G6" s="31">
        <f>Table044__Page_94[[#This Row],[Column3]]</f>
        <v>0.29110000000000003</v>
      </c>
      <c r="H6" s="32">
        <f t="shared" si="1"/>
        <v>1.9100000000000006E-2</v>
      </c>
      <c r="I6" s="50">
        <f>Table044__Page_9[[#This Row],[Column4]]</f>
        <v>0.32300000000000001</v>
      </c>
      <c r="J6" s="31">
        <f>Table044__Page_947[[#This Row],[Column4]]</f>
        <v>0.31640000000000001</v>
      </c>
      <c r="K6" s="45">
        <f t="shared" si="2"/>
        <v>-6.5999999999999948E-3</v>
      </c>
      <c r="L6" s="31">
        <f>Table044__Page_94[[#This Row],[Column4]]</f>
        <v>0.33560000000000001</v>
      </c>
      <c r="M6" s="32">
        <f t="shared" si="3"/>
        <v>1.26E-2</v>
      </c>
    </row>
    <row r="7" spans="2:14" ht="24.95" customHeight="1" x14ac:dyDescent="0.3">
      <c r="B7" s="30" t="s">
        <v>27</v>
      </c>
      <c r="C7" s="32">
        <v>96</v>
      </c>
      <c r="D7" s="50">
        <f>Table044__Page_9[[#This Row],[Column3]]</f>
        <v>0.30499999999999999</v>
      </c>
      <c r="E7" s="31">
        <f>Table044__Page_947[[#This Row],[Column3]]</f>
        <v>0.30780000000000002</v>
      </c>
      <c r="F7" s="45">
        <f t="shared" si="0"/>
        <v>2.8000000000000247E-3</v>
      </c>
      <c r="G7" s="31">
        <f>Table044__Page_94[[#This Row],[Column3]]</f>
        <v>0.32090000000000002</v>
      </c>
      <c r="H7" s="32">
        <f t="shared" si="1"/>
        <v>1.5900000000000025E-2</v>
      </c>
      <c r="I7" s="50">
        <f>Table044__Page_9[[#This Row],[Column4]]</f>
        <v>0.34200000000000003</v>
      </c>
      <c r="J7" s="31">
        <f>Table044__Page_947[[#This Row],[Column4]]</f>
        <v>0.34350000000000003</v>
      </c>
      <c r="K7" s="45">
        <f t="shared" si="2"/>
        <v>1.5000000000000013E-3</v>
      </c>
      <c r="L7" s="31">
        <f>Table044__Page_94[[#This Row],[Column4]]</f>
        <v>0.35399999999999998</v>
      </c>
      <c r="M7" s="32">
        <f t="shared" si="3"/>
        <v>1.1999999999999955E-2</v>
      </c>
    </row>
    <row r="8" spans="2:14" ht="24.95" customHeight="1" x14ac:dyDescent="0.3">
      <c r="B8" s="30" t="s">
        <v>27</v>
      </c>
      <c r="C8" s="32">
        <v>192</v>
      </c>
      <c r="D8" s="50">
        <f>Table044__Page_9[[#This Row],[Column3]]</f>
        <v>0.35499999999999998</v>
      </c>
      <c r="E8" s="31">
        <f>Table044__Page_947[[#This Row],[Column3]]</f>
        <v>0.3574</v>
      </c>
      <c r="F8" s="45">
        <f t="shared" si="0"/>
        <v>2.4000000000000132E-3</v>
      </c>
      <c r="G8" s="31">
        <f>Table044__Page_94[[#This Row],[Column3]]</f>
        <v>0.3725</v>
      </c>
      <c r="H8" s="32">
        <f t="shared" si="1"/>
        <v>1.7500000000000016E-2</v>
      </c>
      <c r="I8" s="50">
        <f>Table044__Page_9[[#This Row],[Column4]]</f>
        <v>0.36699999999999999</v>
      </c>
      <c r="J8" s="31">
        <f>Table044__Page_947[[#This Row],[Column4]]</f>
        <v>0.37309999999999999</v>
      </c>
      <c r="K8" s="45">
        <f t="shared" si="2"/>
        <v>6.0999999999999943E-3</v>
      </c>
      <c r="L8" s="31">
        <f>Table044__Page_94[[#This Row],[Column4]]</f>
        <v>0.38200000000000001</v>
      </c>
      <c r="M8" s="32">
        <f t="shared" si="3"/>
        <v>1.5000000000000013E-2</v>
      </c>
    </row>
    <row r="9" spans="2:14" ht="24.95" customHeight="1" x14ac:dyDescent="0.3">
      <c r="B9" s="39" t="s">
        <v>27</v>
      </c>
      <c r="C9" s="40" t="s">
        <v>28</v>
      </c>
      <c r="D9" s="51">
        <f>Table044__Page_9[[#This Row],[Column3]]</f>
        <v>0.27900000000000003</v>
      </c>
      <c r="E9" s="41">
        <f>Table044__Page_947[[#This Row],[Column3]]</f>
        <v>0.27914</v>
      </c>
      <c r="F9" s="46">
        <f t="shared" si="0"/>
        <v>1.3999999999997348E-4</v>
      </c>
      <c r="G9" s="41">
        <f>Table044__Page_94[[#This Row],[Column3]]</f>
        <v>0.29806000000000005</v>
      </c>
      <c r="H9" s="40">
        <f t="shared" si="1"/>
        <v>1.9060000000000021E-2</v>
      </c>
      <c r="I9" s="51">
        <f>Table044__Page_9[[#This Row],[Column4]]</f>
        <v>0.318</v>
      </c>
      <c r="J9" s="41">
        <f>Table044__Page_947[[#This Row],[Column4]]</f>
        <v>0.32401999999999997</v>
      </c>
      <c r="K9" s="46">
        <f t="shared" si="2"/>
        <v>6.0199999999999698E-3</v>
      </c>
      <c r="L9" s="41">
        <f>Table044__Page_94[[#This Row],[Column4]]</f>
        <v>0.34059999999999996</v>
      </c>
      <c r="M9" s="40">
        <f t="shared" si="3"/>
        <v>2.2599999999999953E-2</v>
      </c>
    </row>
    <row r="10" spans="2:14" ht="24.95" customHeight="1" x14ac:dyDescent="0.3">
      <c r="B10" s="30" t="s">
        <v>32</v>
      </c>
      <c r="C10" s="32">
        <v>24</v>
      </c>
      <c r="D10" s="50">
        <f>Table044__Page_9[[#This Row],[Column3]]</f>
        <v>8.3000000000000004E-2</v>
      </c>
      <c r="E10" s="31">
        <f>Table044__Page_947[[#This Row],[Column3]]</f>
        <v>0.1105</v>
      </c>
      <c r="F10" s="45">
        <f t="shared" si="0"/>
        <v>2.7499999999999997E-2</v>
      </c>
      <c r="G10" s="31">
        <f>Table044__Page_94[[#This Row],[Column3]]</f>
        <v>0.10970000000000001</v>
      </c>
      <c r="H10" s="32">
        <f t="shared" si="1"/>
        <v>2.6700000000000002E-2</v>
      </c>
      <c r="I10" s="50">
        <f>Table044__Page_9[[#This Row],[Column4]]</f>
        <v>0.184</v>
      </c>
      <c r="J10" s="31">
        <f>Table044__Page_947[[#This Row],[Column4]]</f>
        <v>0.20910000000000001</v>
      </c>
      <c r="K10" s="45">
        <f t="shared" si="2"/>
        <v>2.5100000000000011E-2</v>
      </c>
      <c r="L10" s="31">
        <f>Table044__Page_94[[#This Row],[Column4]]</f>
        <v>0.2084</v>
      </c>
      <c r="M10" s="32">
        <f t="shared" si="3"/>
        <v>2.4400000000000005E-2</v>
      </c>
    </row>
    <row r="11" spans="2:14" ht="24.95" customHeight="1" x14ac:dyDescent="0.3">
      <c r="B11" s="30" t="s">
        <v>32</v>
      </c>
      <c r="C11" s="32">
        <v>36</v>
      </c>
      <c r="D11" s="50">
        <f>Table044__Page_9[[#This Row],[Column3]]</f>
        <v>0.109</v>
      </c>
      <c r="E11" s="31">
        <f>Table044__Page_947[[#This Row],[Column3]]</f>
        <v>0.1212</v>
      </c>
      <c r="F11" s="45">
        <f t="shared" si="0"/>
        <v>1.2200000000000003E-2</v>
      </c>
      <c r="G11" s="31">
        <f>Table044__Page_94[[#This Row],[Column3]]</f>
        <v>0.1293</v>
      </c>
      <c r="H11" s="32">
        <f t="shared" si="1"/>
        <v>2.0299999999999999E-2</v>
      </c>
      <c r="I11" s="50">
        <f>Table044__Page_9[[#This Row],[Column4]]</f>
        <v>0.20399999999999999</v>
      </c>
      <c r="J11" s="31">
        <f>Table044__Page_947[[#This Row],[Column4]]</f>
        <v>0.21510000000000001</v>
      </c>
      <c r="K11" s="45">
        <f t="shared" si="2"/>
        <v>1.1100000000000027E-2</v>
      </c>
      <c r="L11" s="31">
        <f>Table044__Page_94[[#This Row],[Column4]]</f>
        <v>0.22509999999999999</v>
      </c>
      <c r="M11" s="32">
        <f t="shared" si="3"/>
        <v>2.1100000000000008E-2</v>
      </c>
    </row>
    <row r="12" spans="2:14" ht="24.95" customHeight="1" x14ac:dyDescent="0.3">
      <c r="B12" s="30" t="s">
        <v>32</v>
      </c>
      <c r="C12" s="32">
        <v>48</v>
      </c>
      <c r="D12" s="50">
        <f>Table044__Page_9[[#This Row],[Column3]]</f>
        <v>0.125</v>
      </c>
      <c r="E12" s="31">
        <f>Table044__Page_947[[#This Row],[Column3]]</f>
        <v>0.13389999999999999</v>
      </c>
      <c r="F12" s="45">
        <f t="shared" si="0"/>
        <v>8.8999999999999913E-3</v>
      </c>
      <c r="G12" s="31">
        <f>Table044__Page_94[[#This Row],[Column3]]</f>
        <v>0.14349999999999999</v>
      </c>
      <c r="H12" s="32">
        <f t="shared" si="1"/>
        <v>1.8499999999999989E-2</v>
      </c>
      <c r="I12" s="50">
        <f>Table044__Page_9[[#This Row],[Column4]]</f>
        <v>0.214</v>
      </c>
      <c r="J12" s="31">
        <f>Table044__Page_947[[#This Row],[Column4]]</f>
        <v>0.22570000000000001</v>
      </c>
      <c r="K12" s="45">
        <f t="shared" si="2"/>
        <v>1.1700000000000016E-2</v>
      </c>
      <c r="L12" s="31">
        <f>Table044__Page_94[[#This Row],[Column4]]</f>
        <v>0.23810000000000001</v>
      </c>
      <c r="M12" s="32">
        <f t="shared" si="3"/>
        <v>2.410000000000001E-2</v>
      </c>
    </row>
    <row r="13" spans="2:14" ht="24.95" customHeight="1" x14ac:dyDescent="0.3">
      <c r="B13" s="30" t="s">
        <v>32</v>
      </c>
      <c r="C13" s="32">
        <v>96</v>
      </c>
      <c r="D13" s="50">
        <f>Table044__Page_9[[#This Row],[Column3]]</f>
        <v>0.17</v>
      </c>
      <c r="E13" s="31">
        <f>Table044__Page_947[[#This Row],[Column3]]</f>
        <v>0.17430000000000001</v>
      </c>
      <c r="F13" s="45">
        <f t="shared" si="0"/>
        <v>4.2999999999999983E-3</v>
      </c>
      <c r="G13" s="31">
        <f>Table044__Page_94[[#This Row],[Column3]]</f>
        <v>0.18329999999999999</v>
      </c>
      <c r="H13" s="32">
        <f t="shared" si="1"/>
        <v>1.3299999999999979E-2</v>
      </c>
      <c r="I13" s="50">
        <f>Table044__Page_9[[#This Row],[Column4]]</f>
        <v>0.251</v>
      </c>
      <c r="J13" s="31">
        <f>Table044__Page_947[[#This Row],[Column4]]</f>
        <v>0.25559999999999999</v>
      </c>
      <c r="K13" s="45">
        <f t="shared" si="2"/>
        <v>4.599999999999993E-3</v>
      </c>
      <c r="L13" s="31">
        <f>Table044__Page_94[[#This Row],[Column4]]</f>
        <v>0.26829999999999998</v>
      </c>
      <c r="M13" s="32">
        <f t="shared" si="3"/>
        <v>1.7299999999999982E-2</v>
      </c>
    </row>
    <row r="14" spans="2:14" ht="24.95" customHeight="1" x14ac:dyDescent="0.3">
      <c r="B14" s="30" t="s">
        <v>32</v>
      </c>
      <c r="C14" s="32">
        <v>192</v>
      </c>
      <c r="D14" s="50">
        <f>Table044__Page_9[[#This Row],[Column3]]</f>
        <v>0.22500000000000001</v>
      </c>
      <c r="E14" s="31">
        <f>Table044__Page_947[[#This Row],[Column3]]</f>
        <v>0.24460000000000001</v>
      </c>
      <c r="F14" s="45">
        <f t="shared" si="0"/>
        <v>1.9600000000000006E-2</v>
      </c>
      <c r="G14" s="31">
        <f>Table044__Page_94[[#This Row],[Column3]]</f>
        <v>0.2472</v>
      </c>
      <c r="H14" s="32">
        <f t="shared" si="1"/>
        <v>2.2199999999999998E-2</v>
      </c>
      <c r="I14" s="50">
        <f>Table044__Page_9[[#This Row],[Column4]]</f>
        <v>0.29599999999999999</v>
      </c>
      <c r="J14" s="31">
        <f>Table044__Page_947[[#This Row],[Column4]]</f>
        <v>0.30230000000000001</v>
      </c>
      <c r="K14" s="45">
        <f t="shared" si="2"/>
        <v>6.3000000000000278E-3</v>
      </c>
      <c r="L14" s="31">
        <f>Table044__Page_94[[#This Row],[Column4]]</f>
        <v>0.30480000000000002</v>
      </c>
      <c r="M14" s="32">
        <f t="shared" si="3"/>
        <v>8.80000000000003E-3</v>
      </c>
    </row>
    <row r="15" spans="2:14" ht="24.95" customHeight="1" x14ac:dyDescent="0.3">
      <c r="B15" s="39" t="s">
        <v>32</v>
      </c>
      <c r="C15" s="40" t="s">
        <v>28</v>
      </c>
      <c r="D15" s="51">
        <f>Table044__Page_9[[#This Row],[Column3]]</f>
        <v>0.14199999999999999</v>
      </c>
      <c r="E15" s="41">
        <f>Table044__Page_947[[#This Row],[Column3]]</f>
        <v>0.15690000000000001</v>
      </c>
      <c r="F15" s="46">
        <f t="shared" si="0"/>
        <v>1.4900000000000024E-2</v>
      </c>
      <c r="G15" s="41">
        <f>Table044__Page_94[[#This Row],[Column3]]</f>
        <v>0.16259999999999999</v>
      </c>
      <c r="H15" s="40">
        <f t="shared" si="1"/>
        <v>2.0600000000000007E-2</v>
      </c>
      <c r="I15" s="51">
        <f>Table044__Page_9[[#This Row],[Column4]]</f>
        <v>0.23</v>
      </c>
      <c r="J15" s="41">
        <f>Table044__Page_947[[#This Row],[Column4]]</f>
        <v>0.24156</v>
      </c>
      <c r="K15" s="46">
        <f t="shared" si="2"/>
        <v>1.1559999999999987E-2</v>
      </c>
      <c r="L15" s="41">
        <f>Table044__Page_94[[#This Row],[Column4]]</f>
        <v>0.24893999999999999</v>
      </c>
      <c r="M15" s="40">
        <f t="shared" si="3"/>
        <v>1.8939999999999985E-2</v>
      </c>
    </row>
    <row r="16" spans="2:14" ht="24.95" customHeight="1" x14ac:dyDescent="0.3">
      <c r="B16" s="30" t="s">
        <v>35</v>
      </c>
      <c r="C16" s="32">
        <v>24</v>
      </c>
      <c r="D16" s="50">
        <f>Table044__Page_9[[#This Row],[Column3]]</f>
        <v>0.28999999999999998</v>
      </c>
      <c r="E16" s="31">
        <f>Table044__Page_947[[#This Row],[Column3]]</f>
        <v>0.29220000000000002</v>
      </c>
      <c r="F16" s="45">
        <f t="shared" si="0"/>
        <v>2.2000000000000353E-3</v>
      </c>
      <c r="G16" s="31">
        <f>Table044__Page_94[[#This Row],[Column3]]</f>
        <v>0.31019999999999998</v>
      </c>
      <c r="H16" s="32">
        <f t="shared" si="1"/>
        <v>2.0199999999999996E-2</v>
      </c>
      <c r="I16" s="50">
        <f>Table044__Page_9[[#This Row],[Column4]]</f>
        <v>0.34599999999999997</v>
      </c>
      <c r="J16" s="31">
        <f>Table044__Page_947[[#This Row],[Column4]]</f>
        <v>0.34470000000000001</v>
      </c>
      <c r="K16" s="45">
        <f t="shared" si="2"/>
        <v>-1.2999999999999678E-3</v>
      </c>
      <c r="L16" s="31">
        <f>Table044__Page_94[[#This Row],[Column4]]</f>
        <v>0.36030000000000001</v>
      </c>
      <c r="M16" s="32">
        <f t="shared" si="3"/>
        <v>1.4300000000000035E-2</v>
      </c>
    </row>
    <row r="17" spans="2:13" ht="24.95" customHeight="1" x14ac:dyDescent="0.3">
      <c r="B17" s="30" t="s">
        <v>35</v>
      </c>
      <c r="C17" s="32">
        <v>36</v>
      </c>
      <c r="D17" s="50">
        <f>Table044__Page_9[[#This Row],[Column3]]</f>
        <v>0.314</v>
      </c>
      <c r="E17" s="31">
        <f>Table044__Page_947[[#This Row],[Column3]]</f>
        <v>0.32019999999999998</v>
      </c>
      <c r="F17" s="45">
        <f t="shared" si="0"/>
        <v>6.1999999999999833E-3</v>
      </c>
      <c r="G17" s="31">
        <f>Table044__Page_94[[#This Row],[Column3]]</f>
        <v>0.3337</v>
      </c>
      <c r="H17" s="32">
        <f t="shared" si="1"/>
        <v>1.9699999999999995E-2</v>
      </c>
      <c r="I17" s="50">
        <f>Table044__Page_9[[#This Row],[Column4]]</f>
        <v>0.36</v>
      </c>
      <c r="J17" s="31">
        <f>Table044__Page_947[[#This Row],[Column4]]</f>
        <v>0.3624</v>
      </c>
      <c r="K17" s="45">
        <f t="shared" si="2"/>
        <v>2.4000000000000132E-3</v>
      </c>
      <c r="L17" s="31">
        <f>Table044__Page_94[[#This Row],[Column4]]</f>
        <v>0.37380000000000002</v>
      </c>
      <c r="M17" s="32">
        <f t="shared" si="3"/>
        <v>1.3800000000000034E-2</v>
      </c>
    </row>
    <row r="18" spans="2:13" ht="24.95" customHeight="1" x14ac:dyDescent="0.3">
      <c r="B18" s="30" t="s">
        <v>35</v>
      </c>
      <c r="C18" s="32">
        <v>48</v>
      </c>
      <c r="D18" s="50">
        <f>Table044__Page_9[[#This Row],[Column3]]</f>
        <v>0.32500000000000001</v>
      </c>
      <c r="E18" s="31">
        <f>Table044__Page_947[[#This Row],[Column3]]</f>
        <v>0.33350000000000002</v>
      </c>
      <c r="F18" s="45">
        <f t="shared" si="0"/>
        <v>8.5000000000000075E-3</v>
      </c>
      <c r="G18" s="31">
        <f>Table044__Page_94[[#This Row],[Column3]]</f>
        <v>0.34720000000000001</v>
      </c>
      <c r="H18" s="32">
        <f t="shared" si="1"/>
        <v>2.2199999999999998E-2</v>
      </c>
      <c r="I18" s="50">
        <f>Table044__Page_9[[#This Row],[Column4]]</f>
        <v>0.36799999999999999</v>
      </c>
      <c r="J18" s="31">
        <f>Table044__Page_947[[#This Row],[Column4]]</f>
        <v>0.37059999999999998</v>
      </c>
      <c r="K18" s="45">
        <f t="shared" si="2"/>
        <v>2.5999999999999912E-3</v>
      </c>
      <c r="L18" s="31">
        <f>Table044__Page_94[[#This Row],[Column4]]</f>
        <v>0.38269999999999998</v>
      </c>
      <c r="M18" s="32">
        <f t="shared" si="3"/>
        <v>1.4699999999999991E-2</v>
      </c>
    </row>
    <row r="19" spans="2:13" ht="24.95" customHeight="1" x14ac:dyDescent="0.3">
      <c r="B19" s="30" t="s">
        <v>35</v>
      </c>
      <c r="C19" s="32">
        <v>96</v>
      </c>
      <c r="D19" s="50">
        <f>Table044__Page_9[[#This Row],[Column3]]</f>
        <v>0.36399999999999999</v>
      </c>
      <c r="E19" s="31">
        <f>Table044__Page_947[[#This Row],[Column3]]</f>
        <v>0.37230000000000002</v>
      </c>
      <c r="F19" s="45">
        <f t="shared" si="0"/>
        <v>8.3000000000000296E-3</v>
      </c>
      <c r="G19" s="31">
        <f>Table044__Page_94[[#This Row],[Column3]]</f>
        <v>0.39369999999999999</v>
      </c>
      <c r="H19" s="32">
        <f t="shared" si="1"/>
        <v>2.9700000000000004E-2</v>
      </c>
      <c r="I19" s="50">
        <f>Table044__Page_9[[#This Row],[Column4]]</f>
        <v>0.39200000000000002</v>
      </c>
      <c r="J19" s="31">
        <f>Table044__Page_947[[#This Row],[Column4]]</f>
        <v>0.3952</v>
      </c>
      <c r="K19" s="45">
        <f t="shared" si="2"/>
        <v>3.1999999999999806E-3</v>
      </c>
      <c r="L19" s="31">
        <f>Table044__Page_94[[#This Row],[Column4]]</f>
        <v>0.40910000000000002</v>
      </c>
      <c r="M19" s="32">
        <f t="shared" si="3"/>
        <v>1.7100000000000004E-2</v>
      </c>
    </row>
    <row r="20" spans="2:13" ht="24.95" customHeight="1" x14ac:dyDescent="0.3">
      <c r="B20" s="30" t="s">
        <v>35</v>
      </c>
      <c r="C20" s="32">
        <v>192</v>
      </c>
      <c r="D20" s="50">
        <f>Table044__Page_9[[#This Row],[Column3]]</f>
        <v>0.42099999999999999</v>
      </c>
      <c r="E20" s="31">
        <f>Table044__Page_947[[#This Row],[Column3]]</f>
        <v>0.42049999999999998</v>
      </c>
      <c r="F20" s="45">
        <f t="shared" si="0"/>
        <v>-5.0000000000000044E-4</v>
      </c>
      <c r="G20" s="31">
        <f>Table044__Page_94[[#This Row],[Column3]]</f>
        <v>0.4481</v>
      </c>
      <c r="H20" s="32">
        <f t="shared" si="1"/>
        <v>2.7100000000000013E-2</v>
      </c>
      <c r="I20" s="50">
        <f>Table044__Page_9[[#This Row],[Column4]]</f>
        <v>0.42199999999999999</v>
      </c>
      <c r="J20" s="31">
        <f>Table044__Page_947[[#This Row],[Column4]]</f>
        <v>0.42509999999999998</v>
      </c>
      <c r="K20" s="45">
        <f t="shared" si="2"/>
        <v>3.0999999999999917E-3</v>
      </c>
      <c r="L20" s="31">
        <f>Table044__Page_94[[#This Row],[Column4]]</f>
        <v>0.43859999999999999</v>
      </c>
      <c r="M20" s="32">
        <f t="shared" si="3"/>
        <v>1.6600000000000004E-2</v>
      </c>
    </row>
    <row r="21" spans="2:13" ht="24.95" customHeight="1" x14ac:dyDescent="0.3">
      <c r="B21" s="39" t="s">
        <v>35</v>
      </c>
      <c r="C21" s="40" t="s">
        <v>28</v>
      </c>
      <c r="D21" s="51">
        <f>Table044__Page_9[[#This Row],[Column3]]</f>
        <v>0.34300000000000003</v>
      </c>
      <c r="E21" s="41">
        <f>Table044__Page_947[[#This Row],[Column3]]</f>
        <v>0.34774000000000005</v>
      </c>
      <c r="F21" s="46">
        <f t="shared" si="0"/>
        <v>4.740000000000022E-3</v>
      </c>
      <c r="G21" s="41">
        <f>Table044__Page_94[[#This Row],[Column3]]</f>
        <v>0.36657999999999996</v>
      </c>
      <c r="H21" s="40">
        <f t="shared" si="1"/>
        <v>2.3579999999999934E-2</v>
      </c>
      <c r="I21" s="51">
        <f>Table044__Page_9[[#This Row],[Column4]]</f>
        <v>0.378</v>
      </c>
      <c r="J21" s="41">
        <f>Table044__Page_947[[#This Row],[Column4]]</f>
        <v>0.37960000000000005</v>
      </c>
      <c r="K21" s="46">
        <f t="shared" si="2"/>
        <v>1.6000000000000458E-3</v>
      </c>
      <c r="L21" s="41">
        <f>Table044__Page_94[[#This Row],[Column4]]</f>
        <v>0.39290000000000003</v>
      </c>
      <c r="M21" s="40">
        <f t="shared" si="3"/>
        <v>1.4900000000000024E-2</v>
      </c>
    </row>
    <row r="22" spans="2:13" ht="24.95" customHeight="1" x14ac:dyDescent="0.3">
      <c r="B22" s="30" t="s">
        <v>38</v>
      </c>
      <c r="C22" s="32">
        <v>24</v>
      </c>
      <c r="D22" s="50">
        <f>Table044__Page_9[[#This Row],[Column3]]</f>
        <v>0.16700000000000001</v>
      </c>
      <c r="E22" s="31">
        <f>Table044__Page_947[[#This Row],[Column3]]</f>
        <v>0.18240000000000001</v>
      </c>
      <c r="F22" s="45">
        <f t="shared" si="0"/>
        <v>1.5399999999999997E-2</v>
      </c>
      <c r="G22" s="31">
        <f>Table044__Page_94[[#This Row],[Column3]]</f>
        <v>0.18210000000000001</v>
      </c>
      <c r="H22" s="32">
        <f t="shared" si="1"/>
        <v>1.5100000000000002E-2</v>
      </c>
      <c r="I22" s="50">
        <f>Table044__Page_9[[#This Row],[Column4]]</f>
        <v>0.25900000000000001</v>
      </c>
      <c r="J22" s="31">
        <f>Table044__Page_947[[#This Row],[Column4]]</f>
        <v>0.26929999999999998</v>
      </c>
      <c r="K22" s="45">
        <f t="shared" si="2"/>
        <v>1.0299999999999976E-2</v>
      </c>
      <c r="L22" s="31">
        <f>Table044__Page_94[[#This Row],[Column4]]</f>
        <v>0.2707</v>
      </c>
      <c r="M22" s="32">
        <f t="shared" si="3"/>
        <v>1.1699999999999988E-2</v>
      </c>
    </row>
    <row r="23" spans="2:13" ht="24.95" customHeight="1" x14ac:dyDescent="0.3">
      <c r="B23" s="30" t="s">
        <v>38</v>
      </c>
      <c r="C23" s="32">
        <v>36</v>
      </c>
      <c r="D23" s="50">
        <f>Table044__Page_9[[#This Row],[Column3]]</f>
        <v>0.2</v>
      </c>
      <c r="E23" s="31">
        <f>Table044__Page_947[[#This Row],[Column3]]</f>
        <v>0.21809999999999999</v>
      </c>
      <c r="F23" s="45">
        <f t="shared" si="0"/>
        <v>1.8099999999999977E-2</v>
      </c>
      <c r="G23" s="31">
        <f>Table044__Page_94[[#This Row],[Column3]]</f>
        <v>0.21229999999999999</v>
      </c>
      <c r="H23" s="32">
        <f t="shared" si="1"/>
        <v>1.2299999999999978E-2</v>
      </c>
      <c r="I23" s="50">
        <f>Table044__Page_9[[#This Row],[Column4]]</f>
        <v>0.27200000000000002</v>
      </c>
      <c r="J23" s="31">
        <f>Table044__Page_947[[#This Row],[Column4]]</f>
        <v>0.29210000000000003</v>
      </c>
      <c r="K23" s="45">
        <f t="shared" si="2"/>
        <v>2.0100000000000007E-2</v>
      </c>
      <c r="L23" s="31">
        <f>Table044__Page_94[[#This Row],[Column4]]</f>
        <v>0.28939999999999999</v>
      </c>
      <c r="M23" s="32">
        <f t="shared" si="3"/>
        <v>1.7399999999999971E-2</v>
      </c>
    </row>
    <row r="24" spans="2:13" ht="24.95" customHeight="1" x14ac:dyDescent="0.3">
      <c r="B24" s="30" t="s">
        <v>38</v>
      </c>
      <c r="C24" s="32">
        <v>48</v>
      </c>
      <c r="D24" s="50">
        <f>Table044__Page_9[[#This Row],[Column3]]</f>
        <v>0.22</v>
      </c>
      <c r="E24" s="31">
        <f>Table044__Page_947[[#This Row],[Column3]]</f>
        <v>0.24709999999999999</v>
      </c>
      <c r="F24" s="45">
        <f t="shared" si="0"/>
        <v>2.7099999999999985E-2</v>
      </c>
      <c r="G24" s="31">
        <f>Table044__Page_94[[#This Row],[Column3]]</f>
        <v>0.23830000000000001</v>
      </c>
      <c r="H24" s="32">
        <f t="shared" si="1"/>
        <v>1.8300000000000011E-2</v>
      </c>
      <c r="I24" s="50">
        <f>Table044__Page_9[[#This Row],[Column4]]</f>
        <v>0.29399999999999998</v>
      </c>
      <c r="J24" s="31">
        <f>Table044__Page_947[[#This Row],[Column4]]</f>
        <v>0.3105</v>
      </c>
      <c r="K24" s="45">
        <f t="shared" si="2"/>
        <v>1.6500000000000015E-2</v>
      </c>
      <c r="L24" s="31">
        <f>Table044__Page_94[[#This Row],[Column4]]</f>
        <v>0.30719999999999997</v>
      </c>
      <c r="M24" s="32">
        <f t="shared" si="3"/>
        <v>1.319999999999999E-2</v>
      </c>
    </row>
    <row r="25" spans="2:13" ht="24.95" customHeight="1" x14ac:dyDescent="0.3">
      <c r="B25" s="30" t="s">
        <v>38</v>
      </c>
      <c r="C25" s="32">
        <v>96</v>
      </c>
      <c r="D25" s="50">
        <f>Table044__Page_9[[#This Row],[Column3]]</f>
        <v>0.27800000000000002</v>
      </c>
      <c r="E25" s="31">
        <f>Table044__Page_947[[#This Row],[Column3]]</f>
        <v>0.30259999999999998</v>
      </c>
      <c r="F25" s="45">
        <f t="shared" si="0"/>
        <v>2.4599999999999955E-2</v>
      </c>
      <c r="G25" s="31">
        <f>Table044__Page_94[[#This Row],[Column3]]</f>
        <v>0.29959999999999998</v>
      </c>
      <c r="H25" s="32">
        <f t="shared" si="1"/>
        <v>2.1599999999999953E-2</v>
      </c>
      <c r="I25" s="50">
        <f>Table044__Page_9[[#This Row],[Column4]]</f>
        <v>0.33200000000000002</v>
      </c>
      <c r="J25" s="31">
        <f>Table044__Page_947[[#This Row],[Column4]]</f>
        <v>0.34689999999999999</v>
      </c>
      <c r="K25" s="45">
        <f t="shared" si="2"/>
        <v>1.4899999999999969E-2</v>
      </c>
      <c r="L25" s="31">
        <f>Table044__Page_94[[#This Row],[Column4]]</f>
        <v>0.34520000000000001</v>
      </c>
      <c r="M25" s="32">
        <f t="shared" si="3"/>
        <v>1.319999999999999E-2</v>
      </c>
    </row>
    <row r="26" spans="2:13" ht="24.95" customHeight="1" x14ac:dyDescent="0.3">
      <c r="B26" s="30" t="s">
        <v>38</v>
      </c>
      <c r="C26" s="32">
        <v>192</v>
      </c>
      <c r="D26" s="50">
        <f>Table044__Page_9[[#This Row],[Column3]]</f>
        <v>0.35599999999999998</v>
      </c>
      <c r="E26" s="31">
        <f>Table044__Page_947[[#This Row],[Column3]]</f>
        <v>0.37319999999999998</v>
      </c>
      <c r="F26" s="45">
        <f t="shared" si="0"/>
        <v>1.7199999999999993E-2</v>
      </c>
      <c r="G26" s="31">
        <f>Table044__Page_94[[#This Row],[Column3]]</f>
        <v>0.38200000000000001</v>
      </c>
      <c r="H26" s="32">
        <f t="shared" si="1"/>
        <v>2.6000000000000023E-2</v>
      </c>
      <c r="I26" s="50">
        <f>Table044__Page_9[[#This Row],[Column4]]</f>
        <v>0.38100000000000001</v>
      </c>
      <c r="J26" s="31">
        <f>Table044__Page_947[[#This Row],[Column4]]</f>
        <v>0.39200000000000002</v>
      </c>
      <c r="K26" s="45">
        <f t="shared" si="2"/>
        <v>1.100000000000001E-2</v>
      </c>
      <c r="L26" s="31">
        <f>Table044__Page_94[[#This Row],[Column4]]</f>
        <v>0.3977</v>
      </c>
      <c r="M26" s="32">
        <f t="shared" si="3"/>
        <v>1.6699999999999993E-2</v>
      </c>
    </row>
    <row r="27" spans="2:13" ht="24.95" customHeight="1" x14ac:dyDescent="0.3">
      <c r="B27" s="39" t="s">
        <v>38</v>
      </c>
      <c r="C27" s="40" t="s">
        <v>28</v>
      </c>
      <c r="D27" s="51">
        <f>Table044__Page_9[[#This Row],[Column3]]</f>
        <v>0.245</v>
      </c>
      <c r="E27" s="41">
        <f>Table044__Page_947[[#This Row],[Column3]]</f>
        <v>0.26467999999999997</v>
      </c>
      <c r="F27" s="46">
        <f t="shared" si="0"/>
        <v>1.9679999999999975E-2</v>
      </c>
      <c r="G27" s="41">
        <f>Table044__Page_94[[#This Row],[Column3]]</f>
        <v>0.26285999999999998</v>
      </c>
      <c r="H27" s="40">
        <f t="shared" si="1"/>
        <v>1.7859999999999987E-2</v>
      </c>
      <c r="I27" s="51">
        <f>Table044__Page_9[[#This Row],[Column4]]</f>
        <v>0.308</v>
      </c>
      <c r="J27" s="41">
        <f>Table044__Page_947[[#This Row],[Column4]]</f>
        <v>0.32215999999999995</v>
      </c>
      <c r="K27" s="46">
        <f t="shared" si="2"/>
        <v>1.415999999999995E-2</v>
      </c>
      <c r="L27" s="41">
        <f>Table044__Page_94[[#This Row],[Column4]]</f>
        <v>0.32203999999999999</v>
      </c>
      <c r="M27" s="40">
        <f t="shared" si="3"/>
        <v>1.4039999999999997E-2</v>
      </c>
    </row>
    <row r="28" spans="2:13" ht="24.95" customHeight="1" x14ac:dyDescent="0.3">
      <c r="B28" s="30" t="s">
        <v>40</v>
      </c>
      <c r="C28" s="32">
        <v>24</v>
      </c>
      <c r="D28" s="50">
        <f>Table044__Page_9[[#This Row],[Column3]]</f>
        <v>0.10100000000000001</v>
      </c>
      <c r="E28" s="31">
        <f>Table044__Page_947[[#This Row],[Column3]]</f>
        <v>0</v>
      </c>
      <c r="F28" s="45">
        <f t="shared" si="0"/>
        <v>-0.10100000000000001</v>
      </c>
      <c r="G28" s="31">
        <f>Table044__Page_94[[#This Row],[Column3]]</f>
        <v>0</v>
      </c>
      <c r="H28" s="32">
        <f t="shared" si="1"/>
        <v>-0.10100000000000001</v>
      </c>
      <c r="I28" s="50">
        <f>Table044__Page_9[[#This Row],[Column4]]</f>
        <v>0.13100000000000001</v>
      </c>
      <c r="J28" s="31">
        <f>Table044__Page_947[[#This Row],[Column4]]</f>
        <v>0</v>
      </c>
      <c r="K28" s="45">
        <f t="shared" si="2"/>
        <v>-0.13100000000000001</v>
      </c>
      <c r="L28" s="31">
        <f>Table044__Page_94[[#This Row],[Column4]]</f>
        <v>0</v>
      </c>
      <c r="M28" s="32">
        <f t="shared" si="3"/>
        <v>-0.13100000000000001</v>
      </c>
    </row>
    <row r="29" spans="2:13" ht="24.95" customHeight="1" x14ac:dyDescent="0.3">
      <c r="B29" s="30" t="s">
        <v>40</v>
      </c>
      <c r="C29" s="32">
        <v>36</v>
      </c>
      <c r="D29" s="50">
        <f>Table044__Page_9[[#This Row],[Column3]]</f>
        <v>0.11899999999999999</v>
      </c>
      <c r="E29" s="31">
        <f>Table044__Page_947[[#This Row],[Column3]]</f>
        <v>0</v>
      </c>
      <c r="F29" s="45">
        <f t="shared" si="0"/>
        <v>-0.11899999999999999</v>
      </c>
      <c r="G29" s="31">
        <f>Table044__Page_94[[#This Row],[Column3]]</f>
        <v>0</v>
      </c>
      <c r="H29" s="32">
        <f t="shared" si="1"/>
        <v>-0.11899999999999999</v>
      </c>
      <c r="I29" s="50">
        <f>Table044__Page_9[[#This Row],[Column4]]</f>
        <v>0.15</v>
      </c>
      <c r="J29" s="31">
        <f>Table044__Page_947[[#This Row],[Column4]]</f>
        <v>0</v>
      </c>
      <c r="K29" s="45">
        <f t="shared" si="2"/>
        <v>-0.15</v>
      </c>
      <c r="L29" s="31">
        <f>Table044__Page_94[[#This Row],[Column4]]</f>
        <v>0</v>
      </c>
      <c r="M29" s="32">
        <f t="shared" si="3"/>
        <v>-0.15</v>
      </c>
    </row>
    <row r="30" spans="2:13" ht="24.95" customHeight="1" x14ac:dyDescent="0.3">
      <c r="B30" s="30" t="s">
        <v>40</v>
      </c>
      <c r="C30" s="32">
        <v>48</v>
      </c>
      <c r="D30" s="50">
        <f>Table044__Page_9[[#This Row],[Column3]]</f>
        <v>0.13</v>
      </c>
      <c r="E30" s="31">
        <f>Table044__Page_947[[#This Row],[Column3]]</f>
        <v>0</v>
      </c>
      <c r="F30" s="45">
        <f t="shared" si="0"/>
        <v>-0.13</v>
      </c>
      <c r="G30" s="31">
        <f>Table044__Page_94[[#This Row],[Column3]]</f>
        <v>0</v>
      </c>
      <c r="H30" s="32">
        <f t="shared" si="1"/>
        <v>-0.13</v>
      </c>
      <c r="I30" s="50">
        <f>Table044__Page_9[[#This Row],[Column4]]</f>
        <v>0.16600000000000001</v>
      </c>
      <c r="J30" s="31">
        <f>Table044__Page_947[[#This Row],[Column4]]</f>
        <v>0</v>
      </c>
      <c r="K30" s="45">
        <f t="shared" si="2"/>
        <v>-0.16600000000000001</v>
      </c>
      <c r="L30" s="31">
        <f>Table044__Page_94[[#This Row],[Column4]]</f>
        <v>0</v>
      </c>
      <c r="M30" s="32">
        <f t="shared" si="3"/>
        <v>-0.16600000000000001</v>
      </c>
    </row>
    <row r="31" spans="2:13" ht="24.95" customHeight="1" x14ac:dyDescent="0.3">
      <c r="B31" s="30" t="s">
        <v>40</v>
      </c>
      <c r="C31" s="32">
        <v>96</v>
      </c>
      <c r="D31" s="50">
        <f>Table044__Page_9[[#This Row],[Column3]]</f>
        <v>0.16300000000000001</v>
      </c>
      <c r="E31" s="31">
        <f>Table044__Page_947[[#This Row],[Column3]]</f>
        <v>0</v>
      </c>
      <c r="F31" s="45">
        <f t="shared" si="0"/>
        <v>-0.16300000000000001</v>
      </c>
      <c r="G31" s="31">
        <f>Table044__Page_94[[#This Row],[Column3]]</f>
        <v>0</v>
      </c>
      <c r="H31" s="32">
        <f t="shared" si="1"/>
        <v>-0.16300000000000001</v>
      </c>
      <c r="I31" s="50">
        <f>Table044__Page_9[[#This Row],[Column4]]</f>
        <v>0.20699999999999999</v>
      </c>
      <c r="J31" s="31">
        <f>Table044__Page_947[[#This Row],[Column4]]</f>
        <v>0</v>
      </c>
      <c r="K31" s="45">
        <f t="shared" si="2"/>
        <v>-0.20699999999999999</v>
      </c>
      <c r="L31" s="31">
        <f>Table044__Page_94[[#This Row],[Column4]]</f>
        <v>0</v>
      </c>
      <c r="M31" s="32">
        <f t="shared" si="3"/>
        <v>-0.20699999999999999</v>
      </c>
    </row>
    <row r="32" spans="2:13" ht="24.95" customHeight="1" x14ac:dyDescent="0.3">
      <c r="B32" s="30" t="s">
        <v>40</v>
      </c>
      <c r="C32" s="32">
        <v>192</v>
      </c>
      <c r="D32" s="50">
        <f>Table044__Page_9[[#This Row],[Column3]]</f>
        <v>0.20799999999999999</v>
      </c>
      <c r="E32" s="31">
        <f>Table044__Page_947[[#This Row],[Column3]]</f>
        <v>0</v>
      </c>
      <c r="F32" s="45">
        <f t="shared" si="0"/>
        <v>-0.20799999999999999</v>
      </c>
      <c r="G32" s="31">
        <f>Table044__Page_94[[#This Row],[Column3]]</f>
        <v>0</v>
      </c>
      <c r="H32" s="32">
        <f t="shared" si="1"/>
        <v>-0.20799999999999999</v>
      </c>
      <c r="I32" s="50">
        <f>Table044__Page_9[[#This Row],[Column4]]</f>
        <v>0.247</v>
      </c>
      <c r="J32" s="31">
        <f>Table044__Page_947[[#This Row],[Column4]]</f>
        <v>0</v>
      </c>
      <c r="K32" s="45">
        <f t="shared" si="2"/>
        <v>-0.247</v>
      </c>
      <c r="L32" s="31">
        <f>Table044__Page_94[[#This Row],[Column4]]</f>
        <v>0</v>
      </c>
      <c r="M32" s="32">
        <f t="shared" si="3"/>
        <v>-0.247</v>
      </c>
    </row>
    <row r="33" spans="2:13" ht="24.95" customHeight="1" x14ac:dyDescent="0.3">
      <c r="B33" s="39" t="s">
        <v>40</v>
      </c>
      <c r="C33" s="40" t="s">
        <v>28</v>
      </c>
      <c r="D33" s="51">
        <f>Table044__Page_9[[#This Row],[Column3]]</f>
        <v>0.14399999999999999</v>
      </c>
      <c r="E33" s="41">
        <f>Table044__Page_947[[#This Row],[Column3]]</f>
        <v>0</v>
      </c>
      <c r="F33" s="46">
        <f t="shared" si="0"/>
        <v>-0.14399999999999999</v>
      </c>
      <c r="G33" s="41">
        <f>Table044__Page_94[[#This Row],[Column3]]</f>
        <v>0</v>
      </c>
      <c r="H33" s="40">
        <f t="shared" si="1"/>
        <v>-0.14399999999999999</v>
      </c>
      <c r="I33" s="51">
        <f>Table044__Page_9[[#This Row],[Column4]]</f>
        <v>0.18</v>
      </c>
      <c r="J33" s="41">
        <f>Table044__Page_947[[#This Row],[Column4]]</f>
        <v>0</v>
      </c>
      <c r="K33" s="46">
        <f t="shared" si="2"/>
        <v>-0.18</v>
      </c>
      <c r="L33" s="41">
        <f>Table044__Page_94[[#This Row],[Column4]]</f>
        <v>0</v>
      </c>
      <c r="M33" s="40">
        <f t="shared" si="3"/>
        <v>-0.18</v>
      </c>
    </row>
    <row r="34" spans="2:13" ht="24.95" customHeight="1" x14ac:dyDescent="0.3">
      <c r="B34" s="30" t="s">
        <v>44</v>
      </c>
      <c r="C34" s="32">
        <v>24</v>
      </c>
      <c r="D34" s="50">
        <f>Table044__Page_9[[#This Row],[Column3]]</f>
        <v>2.1999999999999999E-2</v>
      </c>
      <c r="E34" s="31">
        <f>Table044__Page_947[[#This Row],[Column3]]</f>
        <v>3.85E-2</v>
      </c>
      <c r="F34" s="45">
        <f t="shared" si="0"/>
        <v>1.6500000000000001E-2</v>
      </c>
      <c r="G34" s="31">
        <f>Table044__Page_94[[#This Row],[Column3]]</f>
        <v>2.5399999999999999E-2</v>
      </c>
      <c r="H34" s="32">
        <f t="shared" si="1"/>
        <v>3.4000000000000002E-3</v>
      </c>
      <c r="I34" s="50">
        <f>Table044__Page_9[[#This Row],[Column4]]</f>
        <v>0.104</v>
      </c>
      <c r="J34" s="31">
        <f>Table044__Page_947[[#This Row],[Column4]]</f>
        <v>0.14069999999999999</v>
      </c>
      <c r="K34" s="45">
        <f t="shared" si="2"/>
        <v>3.6699999999999997E-2</v>
      </c>
      <c r="L34" s="31">
        <f>Table044__Page_94[[#This Row],[Column4]]</f>
        <v>0.11020000000000001</v>
      </c>
      <c r="M34" s="32">
        <f t="shared" si="3"/>
        <v>6.2000000000000111E-3</v>
      </c>
    </row>
    <row r="35" spans="2:13" ht="24.95" customHeight="1" x14ac:dyDescent="0.3">
      <c r="B35" s="30" t="s">
        <v>44</v>
      </c>
      <c r="C35" s="32">
        <v>36</v>
      </c>
      <c r="D35" s="50">
        <f>Table044__Page_9[[#This Row],[Column3]]</f>
        <v>3.1E-2</v>
      </c>
      <c r="E35" s="31">
        <f>Table044__Page_947[[#This Row],[Column3]]</f>
        <v>4.9799999999999997E-2</v>
      </c>
      <c r="F35" s="45">
        <f t="shared" si="0"/>
        <v>1.8799999999999997E-2</v>
      </c>
      <c r="G35" s="31">
        <f>Table044__Page_94[[#This Row],[Column3]]</f>
        <v>3.5099999999999999E-2</v>
      </c>
      <c r="H35" s="32">
        <f t="shared" si="1"/>
        <v>4.0999999999999995E-3</v>
      </c>
      <c r="I35" s="50">
        <f>Table044__Page_9[[#This Row],[Column4]]</f>
        <v>0.124</v>
      </c>
      <c r="J35" s="31">
        <f>Table044__Page_947[[#This Row],[Column4]]</f>
        <v>0.1598</v>
      </c>
      <c r="K35" s="45">
        <f t="shared" si="2"/>
        <v>3.5799999999999998E-2</v>
      </c>
      <c r="L35" s="31">
        <f>Table044__Page_94[[#This Row],[Column4]]</f>
        <v>0.13139999999999999</v>
      </c>
      <c r="M35" s="32">
        <f t="shared" si="3"/>
        <v>7.3999999999999899E-3</v>
      </c>
    </row>
    <row r="36" spans="2:13" ht="24.95" customHeight="1" x14ac:dyDescent="0.3">
      <c r="B36" s="30" t="s">
        <v>44</v>
      </c>
      <c r="C36" s="32">
        <v>48</v>
      </c>
      <c r="D36" s="50">
        <f>Table044__Page_9[[#This Row],[Column3]]</f>
        <v>4.1000000000000002E-2</v>
      </c>
      <c r="E36" s="31">
        <f>Table044__Page_947[[#This Row],[Column3]]</f>
        <v>6.2700000000000006E-2</v>
      </c>
      <c r="F36" s="45">
        <f t="shared" si="0"/>
        <v>2.1700000000000004E-2</v>
      </c>
      <c r="G36" s="31">
        <f>Table044__Page_94[[#This Row],[Column3]]</f>
        <v>4.3299999999999998E-2</v>
      </c>
      <c r="H36" s="32">
        <f t="shared" si="1"/>
        <v>2.2999999999999965E-3</v>
      </c>
      <c r="I36" s="50">
        <f>Table044__Page_9[[#This Row],[Column4]]</f>
        <v>0.14199999999999999</v>
      </c>
      <c r="J36" s="31">
        <f>Table044__Page_947[[#This Row],[Column4]]</f>
        <v>0.17929999999999999</v>
      </c>
      <c r="K36" s="45">
        <f t="shared" si="2"/>
        <v>3.73E-2</v>
      </c>
      <c r="L36" s="31">
        <f>Table044__Page_94[[#This Row],[Column4]]</f>
        <v>0.1462</v>
      </c>
      <c r="M36" s="32">
        <f t="shared" si="3"/>
        <v>4.2000000000000093E-3</v>
      </c>
    </row>
    <row r="37" spans="2:13" ht="24.95" customHeight="1" x14ac:dyDescent="0.3">
      <c r="B37" s="30" t="s">
        <v>44</v>
      </c>
      <c r="C37" s="32">
        <v>96</v>
      </c>
      <c r="D37" s="50">
        <f>Table044__Page_9[[#This Row],[Column3]]</f>
        <v>8.2000000000000003E-2</v>
      </c>
      <c r="E37" s="31">
        <f>Table044__Page_947[[#This Row],[Column3]]</f>
        <v>8.9200000000000002E-2</v>
      </c>
      <c r="F37" s="45">
        <f t="shared" si="0"/>
        <v>7.1999999999999981E-3</v>
      </c>
      <c r="G37" s="31">
        <f>Table044__Page_94[[#This Row],[Column3]]</f>
        <v>8.2600000000000007E-2</v>
      </c>
      <c r="H37" s="32">
        <f t="shared" si="1"/>
        <v>6.0000000000000331E-4</v>
      </c>
      <c r="I37" s="50">
        <f>Table044__Page_9[[#This Row],[Column4]]</f>
        <v>0.20200000000000001</v>
      </c>
      <c r="J37" s="31">
        <f>Table044__Page_947[[#This Row],[Column4]]</f>
        <v>0.20810000000000001</v>
      </c>
      <c r="K37" s="45">
        <f t="shared" si="2"/>
        <v>6.0999999999999943E-3</v>
      </c>
      <c r="L37" s="31">
        <f>Table044__Page_94[[#This Row],[Column4]]</f>
        <v>0.2016</v>
      </c>
      <c r="M37" s="32">
        <f t="shared" si="3"/>
        <v>-4.0000000000001146E-4</v>
      </c>
    </row>
    <row r="38" spans="2:13" ht="24.95" customHeight="1" x14ac:dyDescent="0.3">
      <c r="B38" s="30" t="s">
        <v>44</v>
      </c>
      <c r="C38" s="32">
        <v>192</v>
      </c>
      <c r="D38" s="50">
        <f>Table044__Page_9[[#This Row],[Column3]]</f>
        <v>0.17299999999999999</v>
      </c>
      <c r="E38" s="31">
        <f>Table044__Page_947[[#This Row],[Column3]]</f>
        <v>0.20619999999999999</v>
      </c>
      <c r="F38" s="45">
        <f t="shared" si="0"/>
        <v>3.3200000000000007E-2</v>
      </c>
      <c r="G38" s="31">
        <f>Table044__Page_94[[#This Row],[Column3]]</f>
        <v>0.17929999999999999</v>
      </c>
      <c r="H38" s="32">
        <f t="shared" si="1"/>
        <v>6.3E-3</v>
      </c>
      <c r="I38" s="50">
        <f>Table044__Page_9[[#This Row],[Column4]]</f>
        <v>0.29599999999999999</v>
      </c>
      <c r="J38" s="31">
        <f>Table044__Page_947[[#This Row],[Column4]]</f>
        <v>0.32319999999999999</v>
      </c>
      <c r="K38" s="45">
        <f t="shared" si="2"/>
        <v>2.7200000000000002E-2</v>
      </c>
      <c r="L38" s="31">
        <f>Table044__Page_94[[#This Row],[Column4]]</f>
        <v>0.30009999999999998</v>
      </c>
      <c r="M38" s="32">
        <f t="shared" si="3"/>
        <v>4.0999999999999925E-3</v>
      </c>
    </row>
    <row r="39" spans="2:13" ht="24.95" customHeight="1" thickBot="1" x14ac:dyDescent="0.35">
      <c r="B39" s="33" t="s">
        <v>44</v>
      </c>
      <c r="C39" s="35" t="s">
        <v>28</v>
      </c>
      <c r="D39" s="52">
        <f>Table044__Page_9[[#This Row],[Column3]]</f>
        <v>7.0000000000000007E-2</v>
      </c>
      <c r="E39" s="34">
        <f>Table044__Page_947[[#This Row],[Column3]]</f>
        <v>8.9279999999999998E-2</v>
      </c>
      <c r="F39" s="47">
        <f t="shared" si="0"/>
        <v>1.9279999999999992E-2</v>
      </c>
      <c r="G39" s="34">
        <f>Table044__Page_94[[#This Row],[Column3]]</f>
        <v>7.3140000000000011E-2</v>
      </c>
      <c r="H39" s="35">
        <f t="shared" si="1"/>
        <v>3.1400000000000039E-3</v>
      </c>
      <c r="I39" s="52">
        <f>Table044__Page_9[[#This Row],[Column4]]</f>
        <v>0.17399999999999999</v>
      </c>
      <c r="J39" s="34">
        <f>Table044__Page_947[[#This Row],[Column4]]</f>
        <v>0.20221999999999998</v>
      </c>
      <c r="K39" s="47">
        <f t="shared" si="2"/>
        <v>2.8219999999999995E-2</v>
      </c>
      <c r="L39" s="34">
        <f>Table044__Page_94[[#This Row],[Column4]]</f>
        <v>0.1779</v>
      </c>
      <c r="M39" s="35">
        <f t="shared" si="3"/>
        <v>3.9000000000000146E-3</v>
      </c>
    </row>
  </sheetData>
  <mergeCells count="3">
    <mergeCell ref="D2:H2"/>
    <mergeCell ref="I2:M2"/>
    <mergeCell ref="B2:C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ECDF-6FD4-4FB0-B514-D0E1F38726DF}">
  <dimension ref="B1:Q39"/>
  <sheetViews>
    <sheetView topLeftCell="A11" workbookViewId="0"/>
  </sheetViews>
  <sheetFormatPr defaultRowHeight="16.5" x14ac:dyDescent="0.3"/>
  <cols>
    <col min="1" max="1" width="3.125" customWidth="1"/>
    <col min="2" max="2" width="11.75" bestFit="1" customWidth="1"/>
    <col min="3" max="3" width="14.625" bestFit="1" customWidth="1"/>
    <col min="4" max="10" width="11.75" bestFit="1" customWidth="1"/>
    <col min="11" max="17" width="12.875" bestFit="1" customWidth="1"/>
  </cols>
  <sheetData>
    <row r="1" spans="2:17" ht="21" customHeight="1" thickBot="1" x14ac:dyDescent="0.35">
      <c r="B1" t="s">
        <v>0</v>
      </c>
      <c r="C1" t="s">
        <v>1</v>
      </c>
      <c r="D1" s="11" t="s">
        <v>2</v>
      </c>
      <c r="E1" s="12" t="s">
        <v>3</v>
      </c>
      <c r="F1" s="11" t="s">
        <v>4</v>
      </c>
      <c r="G1" s="12" t="s">
        <v>5</v>
      </c>
      <c r="H1" s="11" t="s">
        <v>6</v>
      </c>
      <c r="I1" s="12" t="s">
        <v>7</v>
      </c>
      <c r="J1" s="11" t="s">
        <v>8</v>
      </c>
      <c r="K1" s="12" t="s">
        <v>9</v>
      </c>
      <c r="L1" s="11" t="s">
        <v>10</v>
      </c>
      <c r="M1" s="12" t="s">
        <v>11</v>
      </c>
      <c r="N1" s="11" t="s">
        <v>12</v>
      </c>
      <c r="O1" s="12" t="s">
        <v>13</v>
      </c>
      <c r="P1" s="11" t="s">
        <v>14</v>
      </c>
      <c r="Q1" t="s">
        <v>15</v>
      </c>
    </row>
    <row r="2" spans="2:17" s="5" customFormat="1" ht="20.100000000000001" customHeight="1" thickBot="1" x14ac:dyDescent="0.35">
      <c r="B2" s="9" t="s">
        <v>16</v>
      </c>
      <c r="C2" s="9" t="s">
        <v>48</v>
      </c>
      <c r="D2" s="8" t="s">
        <v>17</v>
      </c>
      <c r="E2" s="10" t="s">
        <v>17</v>
      </c>
      <c r="F2" s="8" t="s">
        <v>18</v>
      </c>
      <c r="G2" s="10" t="s">
        <v>18</v>
      </c>
      <c r="H2" s="8" t="s">
        <v>19</v>
      </c>
      <c r="I2" s="10" t="s">
        <v>19</v>
      </c>
      <c r="J2" s="8" t="s">
        <v>20</v>
      </c>
      <c r="K2" s="10" t="s">
        <v>20</v>
      </c>
      <c r="L2" s="8" t="s">
        <v>21</v>
      </c>
      <c r="M2" s="10" t="s">
        <v>21</v>
      </c>
      <c r="N2" s="8" t="s">
        <v>22</v>
      </c>
      <c r="O2" s="10" t="s">
        <v>22</v>
      </c>
      <c r="P2" s="8" t="s">
        <v>23</v>
      </c>
      <c r="Q2" s="9" t="s">
        <v>23</v>
      </c>
    </row>
    <row r="3" spans="2:17" s="5" customFormat="1" ht="20.100000000000001" customHeight="1" thickBot="1" x14ac:dyDescent="0.35">
      <c r="B3" s="3" t="s">
        <v>16</v>
      </c>
      <c r="C3" s="3" t="s">
        <v>48</v>
      </c>
      <c r="D3" s="2" t="s">
        <v>24</v>
      </c>
      <c r="E3" s="4" t="s">
        <v>25</v>
      </c>
      <c r="F3" s="2" t="s">
        <v>24</v>
      </c>
      <c r="G3" s="4" t="s">
        <v>25</v>
      </c>
      <c r="H3" s="2" t="s">
        <v>24</v>
      </c>
      <c r="I3" s="4" t="s">
        <v>25</v>
      </c>
      <c r="J3" s="2" t="s">
        <v>24</v>
      </c>
      <c r="K3" s="4" t="s">
        <v>25</v>
      </c>
      <c r="L3" s="2" t="s">
        <v>24</v>
      </c>
      <c r="M3" s="4" t="s">
        <v>25</v>
      </c>
      <c r="N3" s="2" t="s">
        <v>24</v>
      </c>
      <c r="O3" s="4" t="s">
        <v>25</v>
      </c>
      <c r="P3" s="2" t="s">
        <v>24</v>
      </c>
      <c r="Q3" s="3" t="s">
        <v>25</v>
      </c>
    </row>
    <row r="4" spans="2:17" s="5" customFormat="1" ht="20.100000000000001" customHeight="1" x14ac:dyDescent="0.3">
      <c r="B4" s="13" t="s">
        <v>27</v>
      </c>
      <c r="C4" s="13">
        <v>24</v>
      </c>
      <c r="D4" s="14">
        <v>0.20200000000000001</v>
      </c>
      <c r="E4" s="15">
        <v>0.25800000000000001</v>
      </c>
      <c r="F4" s="14">
        <v>0.20799999999999999</v>
      </c>
      <c r="G4" s="15">
        <v>0.28100000000000003</v>
      </c>
      <c r="H4" s="14">
        <v>0.26300000000000001</v>
      </c>
      <c r="I4" s="15">
        <v>0.23200000000000001</v>
      </c>
      <c r="J4" s="14">
        <v>0.22800000000000001</v>
      </c>
      <c r="K4" s="15">
        <v>0.30099999999999999</v>
      </c>
      <c r="L4" s="14">
        <v>0.221</v>
      </c>
      <c r="M4" s="15">
        <v>0.29299999999999998</v>
      </c>
      <c r="N4" s="14">
        <v>0.223</v>
      </c>
      <c r="O4" s="15">
        <v>0.29599999999999999</v>
      </c>
      <c r="P4" s="14">
        <v>0.21</v>
      </c>
      <c r="Q4" s="13">
        <v>0.28299999999999997</v>
      </c>
    </row>
    <row r="5" spans="2:17" s="5" customFormat="1" ht="20.100000000000001" customHeight="1" x14ac:dyDescent="0.3">
      <c r="B5" s="5" t="s">
        <v>27</v>
      </c>
      <c r="C5" s="5">
        <v>36</v>
      </c>
      <c r="D5" s="6">
        <v>0.25900000000000001</v>
      </c>
      <c r="E5" s="7">
        <v>0.30199999999999999</v>
      </c>
      <c r="F5" s="6">
        <v>0.26700000000000002</v>
      </c>
      <c r="G5" s="7">
        <v>0.31900000000000001</v>
      </c>
      <c r="H5" s="6">
        <v>0.29599999999999999</v>
      </c>
      <c r="I5" s="7">
        <v>0.34399999999999997</v>
      </c>
      <c r="J5" s="6">
        <v>0.27300000000000002</v>
      </c>
      <c r="K5" s="7">
        <v>0.33</v>
      </c>
      <c r="L5" s="6">
        <v>0.26900000000000002</v>
      </c>
      <c r="M5" s="7">
        <v>0.32400000000000001</v>
      </c>
      <c r="N5" s="6">
        <v>0.27400000000000002</v>
      </c>
      <c r="O5" s="7">
        <v>0.33100000000000002</v>
      </c>
      <c r="P5" s="6">
        <v>0.27200000000000002</v>
      </c>
      <c r="Q5" s="5">
        <v>0.32500000000000001</v>
      </c>
    </row>
    <row r="6" spans="2:17" s="5" customFormat="1" ht="20.100000000000001" customHeight="1" x14ac:dyDescent="0.3">
      <c r="B6" s="5" t="s">
        <v>27</v>
      </c>
      <c r="C6" s="5">
        <v>48</v>
      </c>
      <c r="D6" s="6">
        <v>0.27200000000000002</v>
      </c>
      <c r="E6" s="7">
        <v>0.32300000000000001</v>
      </c>
      <c r="F6" s="6">
        <v>0.28199999999999997</v>
      </c>
      <c r="G6" s="7">
        <v>0.32900000000000001</v>
      </c>
      <c r="H6" s="6">
        <v>0.29499999999999998</v>
      </c>
      <c r="I6" s="7">
        <v>0.34300000000000003</v>
      </c>
      <c r="J6" s="6">
        <v>0.29799999999999999</v>
      </c>
      <c r="K6" s="7">
        <v>0.34599999999999997</v>
      </c>
      <c r="L6" s="6">
        <v>0.29199999999999998</v>
      </c>
      <c r="M6" s="7">
        <v>0.33800000000000002</v>
      </c>
      <c r="N6" s="6">
        <v>0.312</v>
      </c>
      <c r="O6" s="7">
        <v>0.35599999999999998</v>
      </c>
      <c r="P6" s="6">
        <v>0.28599999999999998</v>
      </c>
      <c r="Q6" s="5">
        <v>0.33500000000000002</v>
      </c>
    </row>
    <row r="7" spans="2:17" s="5" customFormat="1" ht="20.100000000000001" customHeight="1" x14ac:dyDescent="0.3">
      <c r="B7" s="5" t="s">
        <v>27</v>
      </c>
      <c r="C7" s="5">
        <v>96</v>
      </c>
      <c r="D7" s="6">
        <v>0.30499999999999999</v>
      </c>
      <c r="E7" s="7">
        <v>0.34200000000000003</v>
      </c>
      <c r="F7" s="6">
        <v>0.312</v>
      </c>
      <c r="G7" s="7">
        <v>0.35099999999999998</v>
      </c>
      <c r="H7" s="6">
        <v>0.35899999999999999</v>
      </c>
      <c r="I7" s="7">
        <v>0.38100000000000001</v>
      </c>
      <c r="J7" s="6">
        <v>0.32800000000000001</v>
      </c>
      <c r="K7" s="7">
        <v>0.36699999999999999</v>
      </c>
      <c r="L7" s="6">
        <v>0.32600000000000001</v>
      </c>
      <c r="M7" s="7">
        <v>0.36199999999999999</v>
      </c>
      <c r="N7" s="6">
        <v>0.33400000000000002</v>
      </c>
      <c r="O7" s="7">
        <v>0.373</v>
      </c>
      <c r="P7" s="6">
        <v>0.32</v>
      </c>
      <c r="Q7" s="5">
        <v>0.35899999999999999</v>
      </c>
    </row>
    <row r="8" spans="2:17" s="5" customFormat="1" ht="20.100000000000001" customHeight="1" x14ac:dyDescent="0.3">
      <c r="B8" s="5" t="s">
        <v>27</v>
      </c>
      <c r="C8" s="5">
        <v>192</v>
      </c>
      <c r="D8" s="6">
        <v>0.35499999999999998</v>
      </c>
      <c r="E8" s="7">
        <v>0.36699999999999999</v>
      </c>
      <c r="F8" s="6">
        <v>0.36099999999999999</v>
      </c>
      <c r="G8" s="7">
        <v>0.378</v>
      </c>
      <c r="H8" s="6">
        <v>0.38300000000000001</v>
      </c>
      <c r="I8" s="7">
        <v>0.39300000000000002</v>
      </c>
      <c r="J8" s="6">
        <v>0.36799999999999999</v>
      </c>
      <c r="K8" s="7">
        <v>0.38700000000000001</v>
      </c>
      <c r="L8" s="6">
        <v>0.36699999999999999</v>
      </c>
      <c r="M8" s="7">
        <v>0.38200000000000001</v>
      </c>
      <c r="N8" s="6">
        <v>0.377</v>
      </c>
      <c r="O8" s="7">
        <v>0.39100000000000001</v>
      </c>
      <c r="P8" s="6">
        <v>0.36199999999999999</v>
      </c>
      <c r="Q8" s="5">
        <v>0.38100000000000001</v>
      </c>
    </row>
    <row r="9" spans="2:17" s="5" customFormat="1" ht="20.100000000000001" customHeight="1" x14ac:dyDescent="0.3">
      <c r="B9" s="1" t="s">
        <v>27</v>
      </c>
      <c r="C9" s="1" t="s">
        <v>28</v>
      </c>
      <c r="D9" s="16">
        <v>0.27900000000000003</v>
      </c>
      <c r="E9" s="17">
        <v>0.318</v>
      </c>
      <c r="F9" s="16">
        <v>0.28599999999999998</v>
      </c>
      <c r="G9" s="17">
        <v>0.33100000000000002</v>
      </c>
      <c r="H9" s="16">
        <v>0.31900000000000001</v>
      </c>
      <c r="I9" s="17">
        <v>0.35699999999999998</v>
      </c>
      <c r="J9" s="16">
        <v>0.29899999999999999</v>
      </c>
      <c r="K9" s="17">
        <v>0.34599999999999997</v>
      </c>
      <c r="L9" s="16">
        <v>0.29499999999999998</v>
      </c>
      <c r="M9" s="17">
        <v>0.34</v>
      </c>
      <c r="N9" s="16">
        <v>0.30399999999999999</v>
      </c>
      <c r="O9" s="17">
        <v>0.34899999999999998</v>
      </c>
      <c r="P9" s="16">
        <v>0.28999999999999998</v>
      </c>
      <c r="Q9" s="1">
        <v>0.33700000000000002</v>
      </c>
    </row>
    <row r="10" spans="2:17" s="5" customFormat="1" ht="20.100000000000001" customHeight="1" x14ac:dyDescent="0.3">
      <c r="B10" s="18" t="s">
        <v>32</v>
      </c>
      <c r="C10" s="18">
        <v>24</v>
      </c>
      <c r="D10" s="19">
        <v>8.3000000000000004E-2</v>
      </c>
      <c r="E10" s="20">
        <v>0.184</v>
      </c>
      <c r="F10" s="19">
        <v>9.1999999999999998E-2</v>
      </c>
      <c r="G10" s="20">
        <v>0.19</v>
      </c>
      <c r="H10" s="19">
        <v>0.10199999999999999</v>
      </c>
      <c r="I10" s="20">
        <v>0.19800000000000001</v>
      </c>
      <c r="J10" s="19">
        <v>0.105</v>
      </c>
      <c r="K10" s="20">
        <v>0.20100000000000001</v>
      </c>
      <c r="L10" s="19">
        <v>0.10299999999999999</v>
      </c>
      <c r="M10" s="20">
        <v>0.20100000000000001</v>
      </c>
      <c r="N10" s="19">
        <v>0.104</v>
      </c>
      <c r="O10" s="20">
        <v>0.2</v>
      </c>
      <c r="P10" s="19">
        <v>9.9000000000000005E-2</v>
      </c>
      <c r="Q10" s="18">
        <v>0.193</v>
      </c>
    </row>
    <row r="11" spans="2:17" s="5" customFormat="1" ht="20.100000000000001" customHeight="1" x14ac:dyDescent="0.3">
      <c r="B11" s="5" t="s">
        <v>32</v>
      </c>
      <c r="C11" s="5">
        <v>36</v>
      </c>
      <c r="D11" s="6">
        <v>0.109</v>
      </c>
      <c r="E11" s="7">
        <v>0.20399999999999999</v>
      </c>
      <c r="F11" s="6">
        <v>0.11600000000000001</v>
      </c>
      <c r="G11" s="7">
        <v>0.21099999999999999</v>
      </c>
      <c r="H11" s="6">
        <v>0.122</v>
      </c>
      <c r="I11" s="7">
        <v>0.218</v>
      </c>
      <c r="J11" s="6">
        <v>0.124</v>
      </c>
      <c r="K11" s="7">
        <v>0.221</v>
      </c>
      <c r="L11" s="6">
        <v>0.124</v>
      </c>
      <c r="M11" s="7">
        <v>0.222</v>
      </c>
      <c r="N11" s="6">
        <v>0.123</v>
      </c>
      <c r="O11" s="7">
        <v>0.219</v>
      </c>
      <c r="P11" s="6">
        <v>0.11899999999999999</v>
      </c>
      <c r="Q11" s="5">
        <v>0.215</v>
      </c>
    </row>
    <row r="12" spans="2:17" s="5" customFormat="1" ht="20.100000000000001" customHeight="1" x14ac:dyDescent="0.3">
      <c r="B12" s="5" t="s">
        <v>32</v>
      </c>
      <c r="C12" s="5">
        <v>48</v>
      </c>
      <c r="D12" s="6">
        <v>0.125</v>
      </c>
      <c r="E12" s="7">
        <v>0.214</v>
      </c>
      <c r="F12" s="6">
        <v>0.13</v>
      </c>
      <c r="G12" s="7">
        <v>0.22500000000000001</v>
      </c>
      <c r="H12" s="6">
        <v>0.13700000000000001</v>
      </c>
      <c r="I12" s="7">
        <v>0.23</v>
      </c>
      <c r="J12" s="6">
        <v>0.14000000000000001</v>
      </c>
      <c r="K12" s="7">
        <v>0.23400000000000001</v>
      </c>
      <c r="L12" s="6">
        <v>0.13800000000000001</v>
      </c>
      <c r="M12" s="7">
        <v>0.23599999999999999</v>
      </c>
      <c r="N12" s="6">
        <v>0.13900000000000001</v>
      </c>
      <c r="O12" s="7">
        <v>0.23400000000000001</v>
      </c>
      <c r="P12" s="6">
        <v>0.13400000000000001</v>
      </c>
      <c r="Q12" s="5">
        <v>0.22900000000000001</v>
      </c>
    </row>
    <row r="13" spans="2:17" s="5" customFormat="1" ht="20.100000000000001" customHeight="1" x14ac:dyDescent="0.3">
      <c r="B13" s="5" t="s">
        <v>32</v>
      </c>
      <c r="C13" s="5">
        <v>96</v>
      </c>
      <c r="D13" s="6">
        <v>0.17</v>
      </c>
      <c r="E13" s="7">
        <v>0.251</v>
      </c>
      <c r="F13" s="6">
        <v>0.17299999999999999</v>
      </c>
      <c r="G13" s="7">
        <v>0.25800000000000001</v>
      </c>
      <c r="H13" s="6">
        <v>0.193</v>
      </c>
      <c r="I13" s="7">
        <v>0.28000000000000003</v>
      </c>
      <c r="J13" s="6">
        <v>0.18099999999999999</v>
      </c>
      <c r="K13" s="7">
        <v>0.26300000000000001</v>
      </c>
      <c r="L13" s="6">
        <v>0.17599999999999999</v>
      </c>
      <c r="M13" s="7">
        <v>0.26100000000000001</v>
      </c>
      <c r="N13" s="6">
        <v>0.18</v>
      </c>
      <c r="O13" s="7">
        <v>0.26400000000000001</v>
      </c>
      <c r="P13" s="6">
        <v>0.17699999999999999</v>
      </c>
      <c r="Q13" s="5">
        <v>0.26</v>
      </c>
    </row>
    <row r="14" spans="2:17" s="5" customFormat="1" ht="20.100000000000001" customHeight="1" x14ac:dyDescent="0.3">
      <c r="B14" s="5" t="s">
        <v>32</v>
      </c>
      <c r="C14" s="5">
        <v>192</v>
      </c>
      <c r="D14" s="6">
        <v>0.22500000000000001</v>
      </c>
      <c r="E14" s="7">
        <v>0.29599999999999999</v>
      </c>
      <c r="F14" s="6">
        <v>0.23799999999999999</v>
      </c>
      <c r="G14" s="7">
        <v>0.30099999999999999</v>
      </c>
      <c r="H14" s="6">
        <v>0.25700000000000001</v>
      </c>
      <c r="I14" s="7">
        <v>0.318</v>
      </c>
      <c r="J14" s="6">
        <v>0.248</v>
      </c>
      <c r="K14" s="7">
        <v>0.308</v>
      </c>
      <c r="L14" s="6">
        <v>0.24299999999999999</v>
      </c>
      <c r="M14" s="7">
        <v>0.30499999999999999</v>
      </c>
      <c r="N14" s="6">
        <v>0.25</v>
      </c>
      <c r="O14" s="7">
        <v>0.309</v>
      </c>
      <c r="P14" s="6">
        <v>0.246</v>
      </c>
      <c r="Q14" s="5">
        <v>0.30499999999999999</v>
      </c>
    </row>
    <row r="15" spans="2:17" s="5" customFormat="1" ht="20.100000000000001" customHeight="1" x14ac:dyDescent="0.3">
      <c r="B15" s="1" t="s">
        <v>32</v>
      </c>
      <c r="C15" s="1" t="s">
        <v>28</v>
      </c>
      <c r="D15" s="16">
        <v>0.14199999999999999</v>
      </c>
      <c r="E15" s="17">
        <v>0.23</v>
      </c>
      <c r="F15" s="16">
        <v>0.15</v>
      </c>
      <c r="G15" s="17">
        <v>0.23699999999999999</v>
      </c>
      <c r="H15" s="16">
        <v>0.16200000000000001</v>
      </c>
      <c r="I15" s="17">
        <v>0.249</v>
      </c>
      <c r="J15" s="16">
        <v>0.16</v>
      </c>
      <c r="K15" s="17">
        <v>0.245</v>
      </c>
      <c r="L15" s="16">
        <v>0.157</v>
      </c>
      <c r="M15" s="17">
        <v>0.245</v>
      </c>
      <c r="N15" s="16">
        <v>0.159</v>
      </c>
      <c r="O15" s="17">
        <v>0.245</v>
      </c>
      <c r="P15" s="16">
        <v>0.155</v>
      </c>
      <c r="Q15" s="1">
        <v>0.24</v>
      </c>
    </row>
    <row r="16" spans="2:17" s="5" customFormat="1" ht="20.100000000000001" customHeight="1" x14ac:dyDescent="0.3">
      <c r="B16" s="18" t="s">
        <v>35</v>
      </c>
      <c r="C16" s="18">
        <v>24</v>
      </c>
      <c r="D16" s="19">
        <v>0.28999999999999998</v>
      </c>
      <c r="E16" s="20">
        <v>0.34599999999999997</v>
      </c>
      <c r="F16" s="19">
        <v>0.29599999999999999</v>
      </c>
      <c r="G16" s="20">
        <v>0.35199999999999998</v>
      </c>
      <c r="H16" s="19">
        <v>0.32500000000000001</v>
      </c>
      <c r="I16" s="20">
        <v>0.37</v>
      </c>
      <c r="J16" s="19">
        <v>0.35899999999999999</v>
      </c>
      <c r="K16" s="20">
        <v>0.39</v>
      </c>
      <c r="L16" s="19">
        <v>0.29499999999999998</v>
      </c>
      <c r="M16" s="20">
        <v>0.35099999999999998</v>
      </c>
      <c r="N16" s="19">
        <v>0.30399999999999999</v>
      </c>
      <c r="O16" s="20">
        <v>0.35899999999999999</v>
      </c>
      <c r="P16" s="19">
        <v>0.32100000000000001</v>
      </c>
      <c r="Q16" s="18">
        <v>0.36499999999999999</v>
      </c>
    </row>
    <row r="17" spans="2:17" s="5" customFormat="1" ht="20.100000000000001" customHeight="1" x14ac:dyDescent="0.3">
      <c r="B17" s="5" t="s">
        <v>35</v>
      </c>
      <c r="C17" s="5">
        <v>36</v>
      </c>
      <c r="D17" s="6">
        <v>0.314</v>
      </c>
      <c r="E17" s="7">
        <v>0.36</v>
      </c>
      <c r="F17" s="6">
        <v>0.318</v>
      </c>
      <c r="G17" s="7">
        <v>0.36299999999999999</v>
      </c>
      <c r="H17" s="6">
        <v>0.34799999999999998</v>
      </c>
      <c r="I17" s="7">
        <v>0.38300000000000001</v>
      </c>
      <c r="J17" s="6">
        <v>0.38</v>
      </c>
      <c r="K17" s="7">
        <v>0.40100000000000002</v>
      </c>
      <c r="L17" s="6">
        <v>0.318</v>
      </c>
      <c r="M17" s="7">
        <v>0.36399999999999999</v>
      </c>
      <c r="N17" s="6">
        <v>0.32800000000000001</v>
      </c>
      <c r="O17" s="7">
        <v>0.372</v>
      </c>
      <c r="P17" s="6">
        <v>0.34300000000000003</v>
      </c>
      <c r="Q17" s="5">
        <v>0.377</v>
      </c>
    </row>
    <row r="18" spans="2:17" s="5" customFormat="1" ht="20.100000000000001" customHeight="1" x14ac:dyDescent="0.3">
      <c r="B18" s="5" t="s">
        <v>35</v>
      </c>
      <c r="C18" s="5">
        <v>48</v>
      </c>
      <c r="D18" s="6">
        <v>0.32500000000000001</v>
      </c>
      <c r="E18" s="7">
        <v>0.36799999999999999</v>
      </c>
      <c r="F18" s="6">
        <v>0.34</v>
      </c>
      <c r="G18" s="7">
        <v>0.375</v>
      </c>
      <c r="H18" s="6">
        <v>0.35799999999999998</v>
      </c>
      <c r="I18" s="7">
        <v>0.38900000000000001</v>
      </c>
      <c r="J18" s="6">
        <v>0.39200000000000002</v>
      </c>
      <c r="K18" s="7">
        <v>0.40899999999999997</v>
      </c>
      <c r="L18" s="6">
        <v>0.33</v>
      </c>
      <c r="M18" s="7">
        <v>0.371</v>
      </c>
      <c r="N18" s="6">
        <v>0.34200000000000003</v>
      </c>
      <c r="O18" s="7">
        <v>0.379</v>
      </c>
      <c r="P18" s="6">
        <v>0.35399999999999998</v>
      </c>
      <c r="Q18" s="5">
        <v>0.38400000000000001</v>
      </c>
    </row>
    <row r="19" spans="2:17" s="5" customFormat="1" ht="20.100000000000001" customHeight="1" x14ac:dyDescent="0.3">
      <c r="B19" s="5" t="s">
        <v>35</v>
      </c>
      <c r="C19" s="5">
        <v>96</v>
      </c>
      <c r="D19" s="6">
        <v>0.36399999999999999</v>
      </c>
      <c r="E19" s="7">
        <v>0.39200000000000002</v>
      </c>
      <c r="F19" s="6">
        <v>0.373</v>
      </c>
      <c r="G19" s="7">
        <v>0.39100000000000001</v>
      </c>
      <c r="H19" s="6">
        <v>0.39800000000000002</v>
      </c>
      <c r="I19" s="7">
        <v>0.44</v>
      </c>
      <c r="J19" s="6">
        <v>0.42699999999999999</v>
      </c>
      <c r="K19" s="7">
        <v>0.43</v>
      </c>
      <c r="L19" s="6">
        <v>0.374</v>
      </c>
      <c r="M19" s="7">
        <v>0.39400000000000002</v>
      </c>
      <c r="N19" s="6">
        <v>0.38600000000000001</v>
      </c>
      <c r="O19" s="7">
        <v>0.40500000000000003</v>
      </c>
      <c r="P19" s="6">
        <v>0.39500000000000002</v>
      </c>
      <c r="Q19" s="5">
        <v>0.40699999999999997</v>
      </c>
    </row>
    <row r="20" spans="2:17" s="5" customFormat="1" ht="20.100000000000001" customHeight="1" x14ac:dyDescent="0.3">
      <c r="B20" s="5" t="s">
        <v>35</v>
      </c>
      <c r="C20" s="5">
        <v>192</v>
      </c>
      <c r="D20" s="6">
        <v>0.42099999999999999</v>
      </c>
      <c r="E20" s="7">
        <v>0.42199999999999999</v>
      </c>
      <c r="F20" s="6">
        <v>0.42699999999999999</v>
      </c>
      <c r="G20" s="7">
        <v>0.42099999999999999</v>
      </c>
      <c r="H20" s="6">
        <v>0.45100000000000001</v>
      </c>
      <c r="I20" s="7">
        <v>0.44</v>
      </c>
      <c r="J20" s="6">
        <v>0.46500000000000002</v>
      </c>
      <c r="K20" s="7">
        <v>0.45200000000000001</v>
      </c>
      <c r="L20" s="6">
        <v>0.42899999999999999</v>
      </c>
      <c r="M20" s="7">
        <v>0.42899999999999999</v>
      </c>
      <c r="N20" s="6">
        <v>0.441</v>
      </c>
      <c r="O20" s="7">
        <v>0.436</v>
      </c>
      <c r="P20" s="6">
        <v>0.44500000000000001</v>
      </c>
      <c r="Q20" s="5">
        <v>0.434</v>
      </c>
    </row>
    <row r="21" spans="2:17" s="5" customFormat="1" ht="20.100000000000001" customHeight="1" x14ac:dyDescent="0.3">
      <c r="B21" s="1" t="s">
        <v>35</v>
      </c>
      <c r="C21" s="1" t="s">
        <v>28</v>
      </c>
      <c r="D21" s="16">
        <v>0.34300000000000003</v>
      </c>
      <c r="E21" s="17">
        <v>0.378</v>
      </c>
      <c r="F21" s="16">
        <v>0.35099999999999998</v>
      </c>
      <c r="G21" s="17">
        <v>0.38</v>
      </c>
      <c r="H21" s="16">
        <v>0.376</v>
      </c>
      <c r="I21" s="17">
        <v>0.39800000000000002</v>
      </c>
      <c r="J21" s="16">
        <v>0.40500000000000003</v>
      </c>
      <c r="K21" s="17">
        <v>0.41599999999999998</v>
      </c>
      <c r="L21" s="16">
        <v>0.34899999999999998</v>
      </c>
      <c r="M21" s="17">
        <v>0.38200000000000001</v>
      </c>
      <c r="N21" s="16">
        <v>0.36</v>
      </c>
      <c r="O21" s="17">
        <v>0.39</v>
      </c>
      <c r="P21" s="16">
        <v>0.372</v>
      </c>
      <c r="Q21" s="1">
        <v>0.39300000000000002</v>
      </c>
    </row>
    <row r="22" spans="2:17" s="5" customFormat="1" ht="20.100000000000001" customHeight="1" x14ac:dyDescent="0.3">
      <c r="B22" s="18" t="s">
        <v>38</v>
      </c>
      <c r="C22" s="18">
        <v>24</v>
      </c>
      <c r="D22" s="19">
        <v>0.16700000000000001</v>
      </c>
      <c r="E22" s="20">
        <v>0.25900000000000001</v>
      </c>
      <c r="F22" s="19">
        <v>0.17100000000000001</v>
      </c>
      <c r="G22" s="20">
        <v>0.26200000000000001</v>
      </c>
      <c r="H22" s="19">
        <v>0.182</v>
      </c>
      <c r="I22" s="20">
        <v>0.27200000000000002</v>
      </c>
      <c r="J22" s="19">
        <v>0.17799999999999999</v>
      </c>
      <c r="K22" s="20">
        <v>0.26900000000000002</v>
      </c>
      <c r="L22" s="19">
        <v>0.17199999999999999</v>
      </c>
      <c r="M22" s="20">
        <v>0.26300000000000001</v>
      </c>
      <c r="N22" s="19">
        <v>0.186</v>
      </c>
      <c r="O22" s="20">
        <v>0.27600000000000002</v>
      </c>
      <c r="P22" s="19">
        <v>0.17299999999999999</v>
      </c>
      <c r="Q22" s="18">
        <v>0.26500000000000001</v>
      </c>
    </row>
    <row r="23" spans="2:17" s="5" customFormat="1" ht="20.100000000000001" customHeight="1" x14ac:dyDescent="0.3">
      <c r="B23" s="5" t="s">
        <v>38</v>
      </c>
      <c r="C23" s="5">
        <v>36</v>
      </c>
      <c r="D23" s="6">
        <v>0.2</v>
      </c>
      <c r="E23" s="7">
        <v>0.27200000000000002</v>
      </c>
      <c r="F23" s="6">
        <v>0.20300000000000001</v>
      </c>
      <c r="G23" s="7">
        <v>0.28100000000000003</v>
      </c>
      <c r="H23" s="6">
        <v>0.21099999999999999</v>
      </c>
      <c r="I23" s="7">
        <v>0.29199999999999998</v>
      </c>
      <c r="J23" s="6">
        <v>0.21</v>
      </c>
      <c r="K23" s="7">
        <v>0.28999999999999998</v>
      </c>
      <c r="L23" s="6">
        <v>0.20599999999999999</v>
      </c>
      <c r="M23" s="7">
        <v>0.28699999999999998</v>
      </c>
      <c r="N23" s="6">
        <v>0.217</v>
      </c>
      <c r="O23" s="7">
        <v>0.29699999999999999</v>
      </c>
      <c r="P23" s="6">
        <v>0.20399999999999999</v>
      </c>
      <c r="Q23" s="5">
        <v>0.28499999999999998</v>
      </c>
    </row>
    <row r="24" spans="2:17" s="5" customFormat="1" ht="20.100000000000001" customHeight="1" x14ac:dyDescent="0.3">
      <c r="B24" s="5" t="s">
        <v>38</v>
      </c>
      <c r="C24" s="5">
        <v>48</v>
      </c>
      <c r="D24" s="6">
        <v>0.22</v>
      </c>
      <c r="E24" s="7">
        <v>0.29399999999999998</v>
      </c>
      <c r="F24" s="6">
        <v>0.22500000000000001</v>
      </c>
      <c r="G24" s="7">
        <v>0.29799999999999999</v>
      </c>
      <c r="H24" s="6">
        <v>0.23200000000000001</v>
      </c>
      <c r="I24" s="7">
        <v>0.30199999999999999</v>
      </c>
      <c r="J24" s="6">
        <v>0.23499999999999999</v>
      </c>
      <c r="K24" s="7">
        <v>0.30599999999999999</v>
      </c>
      <c r="L24" s="6">
        <v>0.23</v>
      </c>
      <c r="M24" s="7">
        <v>0.30499999999999999</v>
      </c>
      <c r="N24" s="6">
        <v>0.24199999999999999</v>
      </c>
      <c r="O24" s="7">
        <v>0.313</v>
      </c>
      <c r="P24" s="6">
        <v>0.22600000000000001</v>
      </c>
      <c r="Q24" s="5">
        <v>0.3</v>
      </c>
    </row>
    <row r="25" spans="2:17" s="5" customFormat="1" ht="20.100000000000001" customHeight="1" x14ac:dyDescent="0.3">
      <c r="B25" s="5" t="s">
        <v>38</v>
      </c>
      <c r="C25" s="5">
        <v>96</v>
      </c>
      <c r="D25" s="6">
        <v>0.27800000000000002</v>
      </c>
      <c r="E25" s="7">
        <v>0.33200000000000002</v>
      </c>
      <c r="F25" s="6">
        <v>0.28599999999999998</v>
      </c>
      <c r="G25" s="7">
        <v>0.33600000000000002</v>
      </c>
      <c r="H25" s="6">
        <v>0.29499999999999998</v>
      </c>
      <c r="I25" s="7">
        <v>0.34599999999999997</v>
      </c>
      <c r="J25" s="6">
        <v>0.3</v>
      </c>
      <c r="K25" s="7">
        <v>0.34799999999999998</v>
      </c>
      <c r="L25" s="6">
        <v>0.30099999999999999</v>
      </c>
      <c r="M25" s="7">
        <v>0.35199999999999998</v>
      </c>
      <c r="N25" s="6">
        <v>0.29699999999999999</v>
      </c>
      <c r="O25" s="7">
        <v>0.34899999999999998</v>
      </c>
      <c r="P25" s="6">
        <v>0.29099999999999998</v>
      </c>
      <c r="Q25" s="5">
        <v>0.34100000000000003</v>
      </c>
    </row>
    <row r="26" spans="2:17" s="5" customFormat="1" ht="20.100000000000001" customHeight="1" x14ac:dyDescent="0.3">
      <c r="B26" s="5" t="s">
        <v>38</v>
      </c>
      <c r="C26" s="5">
        <v>192</v>
      </c>
      <c r="D26" s="6">
        <v>0.35599999999999998</v>
      </c>
      <c r="E26" s="7">
        <v>0.38100000000000001</v>
      </c>
      <c r="F26" s="6">
        <v>0.36299999999999999</v>
      </c>
      <c r="G26" s="7">
        <v>0.38700000000000001</v>
      </c>
      <c r="H26" s="6">
        <v>0.38600000000000001</v>
      </c>
      <c r="I26" s="7">
        <v>0.39900000000000002</v>
      </c>
      <c r="J26" s="6">
        <v>0.374</v>
      </c>
      <c r="K26" s="7">
        <v>0.39800000000000002</v>
      </c>
      <c r="L26" s="6">
        <v>0.38600000000000001</v>
      </c>
      <c r="M26" s="7">
        <v>0.40600000000000003</v>
      </c>
      <c r="N26" s="6">
        <v>0.38</v>
      </c>
      <c r="O26" s="7">
        <v>0.4</v>
      </c>
      <c r="P26" s="6">
        <v>0.377</v>
      </c>
      <c r="Q26" s="5">
        <v>0.39300000000000002</v>
      </c>
    </row>
    <row r="27" spans="2:17" s="5" customFormat="1" ht="20.100000000000001" customHeight="1" x14ac:dyDescent="0.3">
      <c r="B27" s="1" t="s">
        <v>38</v>
      </c>
      <c r="C27" s="1" t="s">
        <v>28</v>
      </c>
      <c r="D27" s="16">
        <v>0.245</v>
      </c>
      <c r="E27" s="17">
        <v>0.308</v>
      </c>
      <c r="F27" s="16">
        <v>0.25</v>
      </c>
      <c r="G27" s="17">
        <v>0.313</v>
      </c>
      <c r="H27" s="16">
        <v>0.26100000000000001</v>
      </c>
      <c r="I27" s="17">
        <v>0.32200000000000001</v>
      </c>
      <c r="J27" s="16">
        <v>0.25900000000000001</v>
      </c>
      <c r="K27" s="17">
        <v>0.32200000000000001</v>
      </c>
      <c r="L27" s="16">
        <v>0.25900000000000001</v>
      </c>
      <c r="M27" s="17">
        <v>0.32300000000000001</v>
      </c>
      <c r="N27" s="16">
        <v>0.26400000000000001</v>
      </c>
      <c r="O27" s="17">
        <v>0.32700000000000001</v>
      </c>
      <c r="P27" s="16">
        <v>0.254</v>
      </c>
      <c r="Q27" s="1">
        <v>0.317</v>
      </c>
    </row>
    <row r="28" spans="2:17" s="5" customFormat="1" ht="20.100000000000001" customHeight="1" x14ac:dyDescent="0.3">
      <c r="B28" s="18" t="s">
        <v>40</v>
      </c>
      <c r="C28" s="18">
        <v>24</v>
      </c>
      <c r="D28" s="19">
        <v>0.10100000000000001</v>
      </c>
      <c r="E28" s="20">
        <v>0.13100000000000001</v>
      </c>
      <c r="F28" s="19">
        <v>0.105</v>
      </c>
      <c r="G28" s="20">
        <v>0.13600000000000001</v>
      </c>
      <c r="H28" s="19">
        <v>0.106</v>
      </c>
      <c r="I28" s="20">
        <v>0.14000000000000001</v>
      </c>
      <c r="J28" s="19">
        <v>0.107</v>
      </c>
      <c r="K28" s="20">
        <v>0.14199999999999999</v>
      </c>
      <c r="L28" s="19">
        <v>0.11</v>
      </c>
      <c r="M28" s="20">
        <v>0.14299999999999999</v>
      </c>
      <c r="N28" s="19">
        <v>0.107</v>
      </c>
      <c r="O28" s="20">
        <v>0.14000000000000001</v>
      </c>
      <c r="P28" s="19">
        <v>0.105</v>
      </c>
      <c r="Q28" s="18">
        <v>0.13700000000000001</v>
      </c>
    </row>
    <row r="29" spans="2:17" s="5" customFormat="1" ht="20.100000000000001" customHeight="1" x14ac:dyDescent="0.3">
      <c r="B29" s="5" t="s">
        <v>40</v>
      </c>
      <c r="C29" s="5">
        <v>36</v>
      </c>
      <c r="D29" s="6">
        <v>0.11899999999999999</v>
      </c>
      <c r="E29" s="7">
        <v>0.15</v>
      </c>
      <c r="F29" s="6">
        <v>0.122</v>
      </c>
      <c r="G29" s="7">
        <v>0.156</v>
      </c>
      <c r="H29" s="6">
        <v>0.124</v>
      </c>
      <c r="I29" s="7">
        <v>0.161</v>
      </c>
      <c r="J29" s="6">
        <v>0.126</v>
      </c>
      <c r="K29" s="7">
        <v>0.16600000000000001</v>
      </c>
      <c r="L29" s="6">
        <v>0.13400000000000001</v>
      </c>
      <c r="M29" s="7">
        <v>0.17199999999999999</v>
      </c>
      <c r="N29" s="6">
        <v>0.125</v>
      </c>
      <c r="O29" s="7">
        <v>0.159</v>
      </c>
      <c r="P29" s="6">
        <v>0.126</v>
      </c>
      <c r="Q29" s="5">
        <v>0.16300000000000001</v>
      </c>
    </row>
    <row r="30" spans="2:17" s="5" customFormat="1" ht="20.100000000000001" customHeight="1" x14ac:dyDescent="0.3">
      <c r="B30" s="5" t="s">
        <v>40</v>
      </c>
      <c r="C30" s="5">
        <v>48</v>
      </c>
      <c r="D30" s="6">
        <v>0.13</v>
      </c>
      <c r="E30" s="7">
        <v>0.16600000000000001</v>
      </c>
      <c r="F30" s="6">
        <v>0.13500000000000001</v>
      </c>
      <c r="G30" s="7">
        <v>0.17100000000000001</v>
      </c>
      <c r="H30" s="6">
        <v>0.14199999999999999</v>
      </c>
      <c r="I30" s="7">
        <v>0.154</v>
      </c>
      <c r="J30" s="6">
        <v>0.14000000000000001</v>
      </c>
      <c r="K30" s="7">
        <v>0.182</v>
      </c>
      <c r="L30" s="6">
        <v>0.14799999999999999</v>
      </c>
      <c r="M30" s="7">
        <v>0.189</v>
      </c>
      <c r="N30" s="6">
        <v>0.13600000000000001</v>
      </c>
      <c r="O30" s="7">
        <v>0.17299999999999999</v>
      </c>
      <c r="P30" s="6">
        <v>0.14099999999999999</v>
      </c>
      <c r="Q30" s="5">
        <v>0.18099999999999999</v>
      </c>
    </row>
    <row r="31" spans="2:17" s="5" customFormat="1" ht="20.100000000000001" customHeight="1" x14ac:dyDescent="0.3">
      <c r="B31" s="5" t="s">
        <v>40</v>
      </c>
      <c r="C31" s="5">
        <v>96</v>
      </c>
      <c r="D31" s="6">
        <v>0.16300000000000001</v>
      </c>
      <c r="E31" s="7">
        <v>0.20699999999999999</v>
      </c>
      <c r="F31" s="6">
        <v>0.16700000000000001</v>
      </c>
      <c r="G31" s="7">
        <v>0.21099999999999999</v>
      </c>
      <c r="H31" s="6">
        <v>0.19500000000000001</v>
      </c>
      <c r="I31" s="7">
        <v>0.23300000000000001</v>
      </c>
      <c r="J31" s="6">
        <v>0.17399999999999999</v>
      </c>
      <c r="K31" s="7">
        <v>0.22</v>
      </c>
      <c r="L31" s="6">
        <v>0.183</v>
      </c>
      <c r="M31" s="7">
        <v>0.223</v>
      </c>
      <c r="N31" s="6">
        <v>0.17399999999999999</v>
      </c>
      <c r="O31" s="7">
        <v>0.214</v>
      </c>
      <c r="P31" s="6">
        <v>0.17699999999999999</v>
      </c>
      <c r="Q31" s="5">
        <v>0.218</v>
      </c>
    </row>
    <row r="32" spans="2:17" s="5" customFormat="1" ht="20.100000000000001" customHeight="1" x14ac:dyDescent="0.3">
      <c r="B32" s="5" t="s">
        <v>40</v>
      </c>
      <c r="C32" s="5">
        <v>192</v>
      </c>
      <c r="D32" s="6">
        <v>0.20799999999999999</v>
      </c>
      <c r="E32" s="7">
        <v>0.247</v>
      </c>
      <c r="F32" s="6">
        <v>0.21199999999999999</v>
      </c>
      <c r="G32" s="7">
        <v>0.253</v>
      </c>
      <c r="H32" s="6">
        <v>0.24</v>
      </c>
      <c r="I32" s="7">
        <v>0.26900000000000002</v>
      </c>
      <c r="J32" s="6">
        <v>0.222</v>
      </c>
      <c r="K32" s="7">
        <v>0.26</v>
      </c>
      <c r="L32" s="6">
        <v>0.22900000000000001</v>
      </c>
      <c r="M32" s="7">
        <v>0.26100000000000001</v>
      </c>
      <c r="N32" s="6">
        <v>0.221</v>
      </c>
      <c r="O32" s="7">
        <v>0.254</v>
      </c>
      <c r="P32" s="6">
        <v>0.223</v>
      </c>
      <c r="Q32" s="5">
        <v>0.25800000000000001</v>
      </c>
    </row>
    <row r="33" spans="2:17" s="5" customFormat="1" ht="20.100000000000001" customHeight="1" x14ac:dyDescent="0.3">
      <c r="B33" s="1" t="s">
        <v>40</v>
      </c>
      <c r="C33" s="1" t="s">
        <v>28</v>
      </c>
      <c r="D33" s="16">
        <v>0.14399999999999999</v>
      </c>
      <c r="E33" s="17">
        <v>0.18</v>
      </c>
      <c r="F33" s="16">
        <v>0.14799999999999999</v>
      </c>
      <c r="G33" s="17">
        <v>0.185</v>
      </c>
      <c r="H33" s="16">
        <v>0.161</v>
      </c>
      <c r="I33" s="17">
        <v>0.191</v>
      </c>
      <c r="J33" s="16">
        <v>0.154</v>
      </c>
      <c r="K33" s="17">
        <v>0.19400000000000001</v>
      </c>
      <c r="L33" s="16">
        <v>0.161</v>
      </c>
      <c r="M33" s="17">
        <v>0.19800000000000001</v>
      </c>
      <c r="N33" s="16">
        <v>0.153</v>
      </c>
      <c r="O33" s="17">
        <v>0.188</v>
      </c>
      <c r="P33" s="16">
        <v>0.154</v>
      </c>
      <c r="Q33" s="1">
        <v>0.191</v>
      </c>
    </row>
    <row r="34" spans="2:17" s="5" customFormat="1" ht="20.100000000000001" customHeight="1" x14ac:dyDescent="0.3">
      <c r="B34" s="5" t="s">
        <v>44</v>
      </c>
      <c r="C34" s="5">
        <v>24</v>
      </c>
      <c r="D34" s="6">
        <v>2.1999999999999999E-2</v>
      </c>
      <c r="E34" s="7">
        <v>0.104</v>
      </c>
      <c r="F34" s="6">
        <v>2.5999999999999999E-2</v>
      </c>
      <c r="G34" s="7">
        <v>0.109</v>
      </c>
      <c r="H34" s="6">
        <v>2.8000000000000001E-2</v>
      </c>
      <c r="I34" s="7">
        <v>0.11899999999999999</v>
      </c>
      <c r="J34" s="6">
        <v>2.9000000000000001E-2</v>
      </c>
      <c r="K34" s="7">
        <v>0.11899999999999999</v>
      </c>
      <c r="L34" s="6">
        <v>2.5000000000000001E-2</v>
      </c>
      <c r="M34" s="7">
        <v>0.108</v>
      </c>
      <c r="N34" s="6">
        <v>2.5999999999999999E-2</v>
      </c>
      <c r="O34" s="7">
        <v>0.11</v>
      </c>
      <c r="P34" s="6">
        <v>2.5000000000000001E-2</v>
      </c>
      <c r="Q34" s="5">
        <v>0.108</v>
      </c>
    </row>
    <row r="35" spans="2:17" s="5" customFormat="1" ht="20.100000000000001" customHeight="1" x14ac:dyDescent="0.3">
      <c r="B35" s="5" t="s">
        <v>44</v>
      </c>
      <c r="C35" s="5">
        <v>36</v>
      </c>
      <c r="D35" s="6">
        <v>3.1E-2</v>
      </c>
      <c r="E35" s="7">
        <v>0.124</v>
      </c>
      <c r="F35" s="6">
        <v>3.4000000000000002E-2</v>
      </c>
      <c r="G35" s="7">
        <v>0.128</v>
      </c>
      <c r="H35" s="6">
        <v>3.9E-2</v>
      </c>
      <c r="I35" s="7">
        <v>0.13800000000000001</v>
      </c>
      <c r="J35" s="6">
        <v>3.7999999999999999E-2</v>
      </c>
      <c r="K35" s="7">
        <v>0.13700000000000001</v>
      </c>
      <c r="L35" s="6">
        <v>3.3000000000000002E-2</v>
      </c>
      <c r="M35" s="7">
        <v>0.127</v>
      </c>
      <c r="N35" s="6">
        <v>3.5999999999999997E-2</v>
      </c>
      <c r="O35" s="7">
        <v>0.13300000000000001</v>
      </c>
      <c r="P35" s="6">
        <v>3.4000000000000002E-2</v>
      </c>
      <c r="Q35" s="5">
        <v>0.129</v>
      </c>
    </row>
    <row r="36" spans="2:17" s="5" customFormat="1" ht="20.100000000000001" customHeight="1" x14ac:dyDescent="0.3">
      <c r="B36" s="5" t="s">
        <v>44</v>
      </c>
      <c r="C36" s="5">
        <v>48</v>
      </c>
      <c r="D36" s="6">
        <v>4.1000000000000002E-2</v>
      </c>
      <c r="E36" s="7">
        <v>0.14199999999999999</v>
      </c>
      <c r="F36" s="6">
        <v>4.3999999999999997E-2</v>
      </c>
      <c r="G36" s="7">
        <v>0.14699999999999999</v>
      </c>
      <c r="H36" s="6">
        <v>0.05</v>
      </c>
      <c r="I36" s="7">
        <v>0.158</v>
      </c>
      <c r="J36" s="6">
        <v>4.8000000000000001E-2</v>
      </c>
      <c r="K36" s="7">
        <v>0.154</v>
      </c>
      <c r="L36" s="6">
        <v>4.4999999999999998E-2</v>
      </c>
      <c r="M36" s="7">
        <v>0.14799999999999999</v>
      </c>
      <c r="N36" s="6">
        <v>4.4999999999999998E-2</v>
      </c>
      <c r="O36" s="7">
        <v>0.14799999999999999</v>
      </c>
      <c r="P36" s="6">
        <v>4.4999999999999998E-2</v>
      </c>
      <c r="Q36" s="5">
        <v>0.14799999999999999</v>
      </c>
    </row>
    <row r="37" spans="2:17" s="5" customFormat="1" ht="20.100000000000001" customHeight="1" x14ac:dyDescent="0.3">
      <c r="B37" s="5" t="s">
        <v>44</v>
      </c>
      <c r="C37" s="5">
        <v>96</v>
      </c>
      <c r="D37" s="6">
        <v>8.2000000000000003E-2</v>
      </c>
      <c r="E37" s="7">
        <v>0.20200000000000001</v>
      </c>
      <c r="F37" s="6">
        <v>8.5999999999999993E-2</v>
      </c>
      <c r="G37" s="7">
        <v>0.20799999999999999</v>
      </c>
      <c r="H37" s="6">
        <v>0.09</v>
      </c>
      <c r="I37" s="7">
        <v>0.21</v>
      </c>
      <c r="J37" s="6">
        <v>9.0999999999999998E-2</v>
      </c>
      <c r="K37" s="7">
        <v>0.21099999999999999</v>
      </c>
      <c r="L37" s="6">
        <v>8.4000000000000005E-2</v>
      </c>
      <c r="M37" s="7">
        <v>0.20599999999999999</v>
      </c>
      <c r="N37" s="6">
        <v>8.5999999999999993E-2</v>
      </c>
      <c r="O37" s="7">
        <v>0.20599999999999999</v>
      </c>
      <c r="P37" s="6">
        <v>8.5000000000000006E-2</v>
      </c>
      <c r="Q37" s="5">
        <v>0.20699999999999999</v>
      </c>
    </row>
    <row r="38" spans="2:17" s="5" customFormat="1" ht="20.100000000000001" customHeight="1" x14ac:dyDescent="0.3">
      <c r="B38" s="5" t="s">
        <v>44</v>
      </c>
      <c r="C38" s="5">
        <v>192</v>
      </c>
      <c r="D38" s="6">
        <v>0.17299999999999999</v>
      </c>
      <c r="E38" s="7">
        <v>0.29599999999999999</v>
      </c>
      <c r="F38" s="6">
        <v>0.17699999999999999</v>
      </c>
      <c r="G38" s="7">
        <v>0.29899999999999999</v>
      </c>
      <c r="H38" s="6">
        <v>0.18099999999999999</v>
      </c>
      <c r="I38" s="7">
        <v>0.30199999999999999</v>
      </c>
      <c r="J38" s="6">
        <v>0.182</v>
      </c>
      <c r="K38" s="7">
        <v>0.30399999999999999</v>
      </c>
      <c r="L38" s="6">
        <v>0.17899999999999999</v>
      </c>
      <c r="M38" s="7">
        <v>0.3</v>
      </c>
      <c r="N38" s="6">
        <v>0.17699999999999999</v>
      </c>
      <c r="O38" s="7">
        <v>0.3</v>
      </c>
      <c r="P38" s="6">
        <v>0.18099999999999999</v>
      </c>
      <c r="Q38" s="5">
        <v>0.30099999999999999</v>
      </c>
    </row>
    <row r="39" spans="2:17" s="5" customFormat="1" ht="20.100000000000001" customHeight="1" x14ac:dyDescent="0.3">
      <c r="B39" s="5" t="s">
        <v>44</v>
      </c>
      <c r="C39" s="5" t="s">
        <v>28</v>
      </c>
      <c r="D39" s="6">
        <v>7.0000000000000007E-2</v>
      </c>
      <c r="E39" s="7">
        <v>0.17399999999999999</v>
      </c>
      <c r="F39" s="6">
        <v>7.2999999999999995E-2</v>
      </c>
      <c r="G39" s="7">
        <v>0.17799999999999999</v>
      </c>
      <c r="H39" s="6">
        <v>7.8E-2</v>
      </c>
      <c r="I39" s="7">
        <v>0.185</v>
      </c>
      <c r="J39" s="6">
        <v>7.8E-2</v>
      </c>
      <c r="K39" s="7">
        <v>0.185</v>
      </c>
      <c r="L39" s="6">
        <v>7.2999999999999995E-2</v>
      </c>
      <c r="M39" s="7">
        <v>0.17699999999999999</v>
      </c>
      <c r="N39" s="6">
        <v>7.3999999999999996E-2</v>
      </c>
      <c r="O39" s="7">
        <v>0.17899999999999999</v>
      </c>
      <c r="P39" s="6">
        <v>7.3999999999999996E-2</v>
      </c>
      <c r="Q39" s="5">
        <v>0.17899999999999999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C400-FA99-4ADF-ABD6-8DCC6EF06225}">
  <dimension ref="B1:E39"/>
  <sheetViews>
    <sheetView topLeftCell="A13" workbookViewId="0">
      <selection activeCell="B1" sqref="B1"/>
    </sheetView>
  </sheetViews>
  <sheetFormatPr defaultRowHeight="16.5" x14ac:dyDescent="0.3"/>
  <cols>
    <col min="1" max="1" width="3.125" customWidth="1"/>
    <col min="2" max="2" width="11.75" bestFit="1" customWidth="1"/>
    <col min="3" max="3" width="14.625" bestFit="1" customWidth="1"/>
    <col min="4" max="5" width="11.75" bestFit="1" customWidth="1"/>
  </cols>
  <sheetData>
    <row r="1" spans="2:5" ht="21" customHeight="1" thickBot="1" x14ac:dyDescent="0.35">
      <c r="B1" t="s">
        <v>0</v>
      </c>
      <c r="C1" t="s">
        <v>1</v>
      </c>
      <c r="D1" s="11" t="s">
        <v>2</v>
      </c>
      <c r="E1" s="12" t="s">
        <v>3</v>
      </c>
    </row>
    <row r="2" spans="2:5" s="5" customFormat="1" ht="20.100000000000001" customHeight="1" thickBot="1" x14ac:dyDescent="0.35">
      <c r="B2" s="9" t="s">
        <v>16</v>
      </c>
      <c r="C2" s="9" t="s">
        <v>48</v>
      </c>
      <c r="D2" s="8" t="s">
        <v>17</v>
      </c>
      <c r="E2" s="10" t="s">
        <v>17</v>
      </c>
    </row>
    <row r="3" spans="2:5" s="5" customFormat="1" ht="20.100000000000001" customHeight="1" thickBot="1" x14ac:dyDescent="0.35">
      <c r="B3" s="3" t="s">
        <v>16</v>
      </c>
      <c r="C3" s="3" t="s">
        <v>48</v>
      </c>
      <c r="D3" s="2" t="s">
        <v>24</v>
      </c>
      <c r="E3" s="4" t="s">
        <v>25</v>
      </c>
    </row>
    <row r="4" spans="2:5" s="5" customFormat="1" ht="20.100000000000001" customHeight="1" x14ac:dyDescent="0.3">
      <c r="B4" s="13" t="s">
        <v>27</v>
      </c>
      <c r="C4" s="13">
        <v>24</v>
      </c>
      <c r="D4" s="14">
        <v>0.2137</v>
      </c>
      <c r="E4" s="15">
        <v>0.2853</v>
      </c>
    </row>
    <row r="5" spans="2:5" s="5" customFormat="1" ht="20.100000000000001" customHeight="1" x14ac:dyDescent="0.3">
      <c r="B5" s="5" t="s">
        <v>27</v>
      </c>
      <c r="C5" s="5">
        <v>36</v>
      </c>
      <c r="D5" s="6">
        <v>0.247</v>
      </c>
      <c r="E5" s="7">
        <v>0.30180000000000001</v>
      </c>
    </row>
    <row r="6" spans="2:5" s="5" customFormat="1" ht="20.100000000000001" customHeight="1" x14ac:dyDescent="0.3">
      <c r="B6" s="5" t="s">
        <v>27</v>
      </c>
      <c r="C6" s="5">
        <v>48</v>
      </c>
      <c r="D6" s="6">
        <v>0.26979999999999998</v>
      </c>
      <c r="E6" s="7">
        <v>0.31640000000000001</v>
      </c>
    </row>
    <row r="7" spans="2:5" s="5" customFormat="1" ht="20.100000000000001" customHeight="1" x14ac:dyDescent="0.3">
      <c r="B7" s="5" t="s">
        <v>27</v>
      </c>
      <c r="C7" s="5">
        <v>96</v>
      </c>
      <c r="D7" s="6">
        <v>0.30780000000000002</v>
      </c>
      <c r="E7" s="7">
        <v>0.34350000000000003</v>
      </c>
    </row>
    <row r="8" spans="2:5" s="5" customFormat="1" ht="20.100000000000001" customHeight="1" x14ac:dyDescent="0.3">
      <c r="B8" s="5" t="s">
        <v>27</v>
      </c>
      <c r="C8" s="5">
        <v>192</v>
      </c>
      <c r="D8" s="6">
        <v>0.3574</v>
      </c>
      <c r="E8" s="7">
        <v>0.37309999999999999</v>
      </c>
    </row>
    <row r="9" spans="2:5" s="5" customFormat="1" ht="20.100000000000001" customHeight="1" x14ac:dyDescent="0.3">
      <c r="B9" s="1" t="s">
        <v>27</v>
      </c>
      <c r="C9" s="1" t="s">
        <v>28</v>
      </c>
      <c r="D9" s="16">
        <f>AVERAGE(D4:D8)</f>
        <v>0.27914</v>
      </c>
      <c r="E9" s="17">
        <f>AVERAGE(E4:E8)</f>
        <v>0.32401999999999997</v>
      </c>
    </row>
    <row r="10" spans="2:5" s="5" customFormat="1" ht="20.100000000000001" customHeight="1" x14ac:dyDescent="0.3">
      <c r="B10" s="18" t="s">
        <v>32</v>
      </c>
      <c r="C10" s="18">
        <v>24</v>
      </c>
      <c r="D10" s="19">
        <v>0.1105</v>
      </c>
      <c r="E10" s="20">
        <v>0.20910000000000001</v>
      </c>
    </row>
    <row r="11" spans="2:5" s="5" customFormat="1" ht="20.100000000000001" customHeight="1" x14ac:dyDescent="0.3">
      <c r="B11" s="5" t="s">
        <v>32</v>
      </c>
      <c r="C11" s="5">
        <v>36</v>
      </c>
      <c r="D11" s="6">
        <v>0.1212</v>
      </c>
      <c r="E11" s="7">
        <v>0.21510000000000001</v>
      </c>
    </row>
    <row r="12" spans="2:5" s="5" customFormat="1" ht="20.100000000000001" customHeight="1" x14ac:dyDescent="0.3">
      <c r="B12" s="5" t="s">
        <v>32</v>
      </c>
      <c r="C12" s="5">
        <v>48</v>
      </c>
      <c r="D12" s="6">
        <v>0.13389999999999999</v>
      </c>
      <c r="E12" s="7">
        <v>0.22570000000000001</v>
      </c>
    </row>
    <row r="13" spans="2:5" s="5" customFormat="1" ht="20.100000000000001" customHeight="1" x14ac:dyDescent="0.3">
      <c r="B13" s="5" t="s">
        <v>32</v>
      </c>
      <c r="C13" s="5">
        <v>96</v>
      </c>
      <c r="D13" s="6">
        <v>0.17430000000000001</v>
      </c>
      <c r="E13" s="7">
        <v>0.25559999999999999</v>
      </c>
    </row>
    <row r="14" spans="2:5" s="5" customFormat="1" ht="20.100000000000001" customHeight="1" x14ac:dyDescent="0.3">
      <c r="B14" s="5" t="s">
        <v>32</v>
      </c>
      <c r="C14" s="5">
        <v>192</v>
      </c>
      <c r="D14" s="6">
        <v>0.24460000000000001</v>
      </c>
      <c r="E14" s="7">
        <v>0.30230000000000001</v>
      </c>
    </row>
    <row r="15" spans="2:5" s="5" customFormat="1" ht="20.100000000000001" customHeight="1" x14ac:dyDescent="0.3">
      <c r="B15" s="1" t="s">
        <v>32</v>
      </c>
      <c r="C15" s="1" t="s">
        <v>28</v>
      </c>
      <c r="D15" s="16">
        <f>AVERAGE(D10:D14)</f>
        <v>0.15690000000000001</v>
      </c>
      <c r="E15" s="17">
        <f>AVERAGE(E10:E14)</f>
        <v>0.24156</v>
      </c>
    </row>
    <row r="16" spans="2:5" s="5" customFormat="1" ht="20.100000000000001" customHeight="1" x14ac:dyDescent="0.3">
      <c r="B16" s="18" t="s">
        <v>35</v>
      </c>
      <c r="C16" s="18">
        <v>24</v>
      </c>
      <c r="D16" s="19">
        <v>0.29220000000000002</v>
      </c>
      <c r="E16" s="20">
        <v>0.34470000000000001</v>
      </c>
    </row>
    <row r="17" spans="2:5" s="5" customFormat="1" ht="20.100000000000001" customHeight="1" x14ac:dyDescent="0.3">
      <c r="B17" s="5" t="s">
        <v>35</v>
      </c>
      <c r="C17" s="5">
        <v>36</v>
      </c>
      <c r="D17" s="6">
        <v>0.32019999999999998</v>
      </c>
      <c r="E17" s="7">
        <v>0.3624</v>
      </c>
    </row>
    <row r="18" spans="2:5" s="5" customFormat="1" ht="20.100000000000001" customHeight="1" x14ac:dyDescent="0.3">
      <c r="B18" s="5" t="s">
        <v>35</v>
      </c>
      <c r="C18" s="5">
        <v>48</v>
      </c>
      <c r="D18" s="6">
        <v>0.33350000000000002</v>
      </c>
      <c r="E18" s="7">
        <v>0.37059999999999998</v>
      </c>
    </row>
    <row r="19" spans="2:5" s="5" customFormat="1" ht="20.100000000000001" customHeight="1" x14ac:dyDescent="0.3">
      <c r="B19" s="5" t="s">
        <v>35</v>
      </c>
      <c r="C19" s="5">
        <v>96</v>
      </c>
      <c r="D19" s="6">
        <v>0.37230000000000002</v>
      </c>
      <c r="E19" s="7">
        <v>0.3952</v>
      </c>
    </row>
    <row r="20" spans="2:5" s="5" customFormat="1" ht="20.100000000000001" customHeight="1" x14ac:dyDescent="0.3">
      <c r="B20" s="5" t="s">
        <v>35</v>
      </c>
      <c r="C20" s="5">
        <v>192</v>
      </c>
      <c r="D20" s="6">
        <v>0.42049999999999998</v>
      </c>
      <c r="E20" s="7">
        <v>0.42509999999999998</v>
      </c>
    </row>
    <row r="21" spans="2:5" s="5" customFormat="1" ht="20.100000000000001" customHeight="1" x14ac:dyDescent="0.3">
      <c r="B21" s="1" t="s">
        <v>35</v>
      </c>
      <c r="C21" s="1" t="s">
        <v>28</v>
      </c>
      <c r="D21" s="16">
        <f>AVERAGE(D16:D20)</f>
        <v>0.34774000000000005</v>
      </c>
      <c r="E21" s="17">
        <f>AVERAGE(E16:E20)</f>
        <v>0.37960000000000005</v>
      </c>
    </row>
    <row r="22" spans="2:5" s="5" customFormat="1" ht="20.100000000000001" customHeight="1" x14ac:dyDescent="0.3">
      <c r="B22" s="18" t="s">
        <v>38</v>
      </c>
      <c r="C22" s="18">
        <v>24</v>
      </c>
      <c r="D22" s="19">
        <v>0.18240000000000001</v>
      </c>
      <c r="E22" s="20">
        <v>0.26929999999999998</v>
      </c>
    </row>
    <row r="23" spans="2:5" s="5" customFormat="1" ht="20.100000000000001" customHeight="1" x14ac:dyDescent="0.3">
      <c r="B23" s="5" t="s">
        <v>38</v>
      </c>
      <c r="C23" s="5">
        <v>36</v>
      </c>
      <c r="D23" s="6">
        <v>0.21809999999999999</v>
      </c>
      <c r="E23" s="7">
        <v>0.29210000000000003</v>
      </c>
    </row>
    <row r="24" spans="2:5" s="5" customFormat="1" ht="20.100000000000001" customHeight="1" x14ac:dyDescent="0.3">
      <c r="B24" s="5" t="s">
        <v>38</v>
      </c>
      <c r="C24" s="5">
        <v>48</v>
      </c>
      <c r="D24" s="6">
        <v>0.24709999999999999</v>
      </c>
      <c r="E24" s="7">
        <v>0.3105</v>
      </c>
    </row>
    <row r="25" spans="2:5" s="5" customFormat="1" ht="20.100000000000001" customHeight="1" x14ac:dyDescent="0.3">
      <c r="B25" s="5" t="s">
        <v>38</v>
      </c>
      <c r="C25" s="5">
        <v>96</v>
      </c>
      <c r="D25" s="6">
        <v>0.30259999999999998</v>
      </c>
      <c r="E25" s="7">
        <v>0.34689999999999999</v>
      </c>
    </row>
    <row r="26" spans="2:5" s="5" customFormat="1" ht="20.100000000000001" customHeight="1" x14ac:dyDescent="0.3">
      <c r="B26" s="5" t="s">
        <v>38</v>
      </c>
      <c r="C26" s="5">
        <v>192</v>
      </c>
      <c r="D26" s="6">
        <v>0.37319999999999998</v>
      </c>
      <c r="E26" s="7">
        <v>0.39200000000000002</v>
      </c>
    </row>
    <row r="27" spans="2:5" s="5" customFormat="1" ht="20.100000000000001" customHeight="1" x14ac:dyDescent="0.3">
      <c r="B27" s="1" t="s">
        <v>38</v>
      </c>
      <c r="C27" s="1" t="s">
        <v>28</v>
      </c>
      <c r="D27" s="16">
        <f>AVERAGE(D22:D26)</f>
        <v>0.26467999999999997</v>
      </c>
      <c r="E27" s="17">
        <f>AVERAGE(E22:E26)</f>
        <v>0.32215999999999995</v>
      </c>
    </row>
    <row r="28" spans="2:5" s="5" customFormat="1" ht="20.100000000000001" customHeight="1" x14ac:dyDescent="0.3">
      <c r="B28" s="18" t="s">
        <v>40</v>
      </c>
      <c r="C28" s="18">
        <v>24</v>
      </c>
      <c r="D28" s="19"/>
      <c r="E28" s="20"/>
    </row>
    <row r="29" spans="2:5" s="5" customFormat="1" ht="20.100000000000001" customHeight="1" x14ac:dyDescent="0.3">
      <c r="B29" s="5" t="s">
        <v>40</v>
      </c>
      <c r="C29" s="5">
        <v>36</v>
      </c>
      <c r="D29" s="6"/>
      <c r="E29" s="7"/>
    </row>
    <row r="30" spans="2:5" s="5" customFormat="1" ht="20.100000000000001" customHeight="1" x14ac:dyDescent="0.3">
      <c r="B30" s="5" t="s">
        <v>40</v>
      </c>
      <c r="C30" s="5">
        <v>48</v>
      </c>
      <c r="D30" s="6"/>
      <c r="E30" s="7"/>
    </row>
    <row r="31" spans="2:5" s="5" customFormat="1" ht="20.100000000000001" customHeight="1" x14ac:dyDescent="0.3">
      <c r="B31" s="5" t="s">
        <v>40</v>
      </c>
      <c r="C31" s="5">
        <v>96</v>
      </c>
      <c r="D31" s="6"/>
      <c r="E31" s="7"/>
    </row>
    <row r="32" spans="2:5" s="5" customFormat="1" ht="20.100000000000001" customHeight="1" x14ac:dyDescent="0.3">
      <c r="B32" s="5" t="s">
        <v>40</v>
      </c>
      <c r="C32" s="5">
        <v>192</v>
      </c>
      <c r="D32" s="6"/>
      <c r="E32" s="7"/>
    </row>
    <row r="33" spans="2:5" s="5" customFormat="1" ht="20.100000000000001" customHeight="1" x14ac:dyDescent="0.3">
      <c r="B33" s="1" t="s">
        <v>40</v>
      </c>
      <c r="C33" s="1" t="s">
        <v>28</v>
      </c>
      <c r="D33" s="16"/>
      <c r="E33" s="17"/>
    </row>
    <row r="34" spans="2:5" s="5" customFormat="1" ht="20.100000000000001" customHeight="1" x14ac:dyDescent="0.3">
      <c r="B34" s="5" t="s">
        <v>44</v>
      </c>
      <c r="C34" s="5">
        <v>24</v>
      </c>
      <c r="D34" s="6">
        <v>3.85E-2</v>
      </c>
      <c r="E34" s="7">
        <v>0.14069999999999999</v>
      </c>
    </row>
    <row r="35" spans="2:5" s="5" customFormat="1" ht="20.100000000000001" customHeight="1" x14ac:dyDescent="0.3">
      <c r="B35" s="5" t="s">
        <v>44</v>
      </c>
      <c r="C35" s="5">
        <v>36</v>
      </c>
      <c r="D35" s="6">
        <v>4.9799999999999997E-2</v>
      </c>
      <c r="E35" s="7">
        <v>0.1598</v>
      </c>
    </row>
    <row r="36" spans="2:5" s="5" customFormat="1" ht="20.100000000000001" customHeight="1" x14ac:dyDescent="0.3">
      <c r="B36" s="5" t="s">
        <v>44</v>
      </c>
      <c r="C36" s="5">
        <v>48</v>
      </c>
      <c r="D36" s="6">
        <v>6.2700000000000006E-2</v>
      </c>
      <c r="E36" s="7">
        <v>0.17929999999999999</v>
      </c>
    </row>
    <row r="37" spans="2:5" s="5" customFormat="1" ht="20.100000000000001" customHeight="1" x14ac:dyDescent="0.3">
      <c r="B37" s="5" t="s">
        <v>44</v>
      </c>
      <c r="C37" s="5">
        <v>96</v>
      </c>
      <c r="D37" s="6">
        <v>8.9200000000000002E-2</v>
      </c>
      <c r="E37" s="7">
        <v>0.20810000000000001</v>
      </c>
    </row>
    <row r="38" spans="2:5" s="5" customFormat="1" ht="20.100000000000001" customHeight="1" x14ac:dyDescent="0.3">
      <c r="B38" s="5" t="s">
        <v>44</v>
      </c>
      <c r="C38" s="5">
        <v>192</v>
      </c>
      <c r="D38" s="6">
        <v>0.20619999999999999</v>
      </c>
      <c r="E38" s="7">
        <v>0.32319999999999999</v>
      </c>
    </row>
    <row r="39" spans="2:5" s="5" customFormat="1" ht="20.100000000000001" customHeight="1" x14ac:dyDescent="0.3">
      <c r="B39" s="5" t="s">
        <v>44</v>
      </c>
      <c r="C39" s="5" t="s">
        <v>28</v>
      </c>
      <c r="D39" s="6">
        <f>AVERAGE(D34:D38)</f>
        <v>8.9279999999999998E-2</v>
      </c>
      <c r="E39" s="7">
        <f>AVERAGE(E34:E38)</f>
        <v>0.20221999999999998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7973F-CE50-4DA8-AF20-E5A76BD8AFC5}">
  <dimension ref="B1:E39"/>
  <sheetViews>
    <sheetView topLeftCell="A6" workbookViewId="0">
      <selection activeCell="B1" sqref="B1:E1"/>
    </sheetView>
  </sheetViews>
  <sheetFormatPr defaultRowHeight="16.5" x14ac:dyDescent="0.3"/>
  <cols>
    <col min="1" max="1" width="3.125" customWidth="1"/>
    <col min="2" max="2" width="11.75" bestFit="1" customWidth="1"/>
    <col min="3" max="3" width="14.625" bestFit="1" customWidth="1"/>
    <col min="4" max="5" width="11.75" bestFit="1" customWidth="1"/>
  </cols>
  <sheetData>
    <row r="1" spans="2:5" ht="21" customHeight="1" thickBot="1" x14ac:dyDescent="0.35">
      <c r="B1" t="s">
        <v>0</v>
      </c>
      <c r="C1" t="s">
        <v>1</v>
      </c>
      <c r="D1" s="11" t="s">
        <v>2</v>
      </c>
      <c r="E1" s="12" t="s">
        <v>3</v>
      </c>
    </row>
    <row r="2" spans="2:5" s="5" customFormat="1" ht="20.100000000000001" customHeight="1" thickBot="1" x14ac:dyDescent="0.35">
      <c r="B2" s="9" t="s">
        <v>16</v>
      </c>
      <c r="C2" s="9" t="s">
        <v>48</v>
      </c>
      <c r="D2" s="8" t="s">
        <v>17</v>
      </c>
      <c r="E2" s="10" t="s">
        <v>17</v>
      </c>
    </row>
    <row r="3" spans="2:5" s="5" customFormat="1" ht="20.100000000000001" customHeight="1" thickBot="1" x14ac:dyDescent="0.35">
      <c r="B3" s="3" t="s">
        <v>16</v>
      </c>
      <c r="C3" s="3" t="s">
        <v>48</v>
      </c>
      <c r="D3" s="2" t="s">
        <v>24</v>
      </c>
      <c r="E3" s="4" t="s">
        <v>25</v>
      </c>
    </row>
    <row r="4" spans="2:5" s="5" customFormat="1" ht="20.100000000000001" customHeight="1" x14ac:dyDescent="0.3">
      <c r="B4" s="13" t="s">
        <v>27</v>
      </c>
      <c r="C4" s="13">
        <v>24</v>
      </c>
      <c r="D4" s="14">
        <v>0.22159999999999999</v>
      </c>
      <c r="E4" s="15">
        <v>0.29659999999999997</v>
      </c>
    </row>
    <row r="5" spans="2:5" s="5" customFormat="1" ht="20.100000000000001" customHeight="1" x14ac:dyDescent="0.3">
      <c r="B5" s="5" t="s">
        <v>27</v>
      </c>
      <c r="C5" s="5">
        <v>36</v>
      </c>
      <c r="D5" s="6">
        <v>0.28420000000000001</v>
      </c>
      <c r="E5" s="7">
        <v>0.33479999999999999</v>
      </c>
    </row>
    <row r="6" spans="2:5" s="5" customFormat="1" ht="20.100000000000001" customHeight="1" x14ac:dyDescent="0.3">
      <c r="B6" s="5" t="s">
        <v>27</v>
      </c>
      <c r="C6" s="5">
        <v>48</v>
      </c>
      <c r="D6" s="6">
        <v>0.29110000000000003</v>
      </c>
      <c r="E6" s="7">
        <v>0.33560000000000001</v>
      </c>
    </row>
    <row r="7" spans="2:5" s="5" customFormat="1" ht="20.100000000000001" customHeight="1" x14ac:dyDescent="0.3">
      <c r="B7" s="5" t="s">
        <v>27</v>
      </c>
      <c r="C7" s="5">
        <v>96</v>
      </c>
      <c r="D7" s="6">
        <v>0.32090000000000002</v>
      </c>
      <c r="E7" s="7">
        <v>0.35399999999999998</v>
      </c>
    </row>
    <row r="8" spans="2:5" s="5" customFormat="1" ht="20.100000000000001" customHeight="1" x14ac:dyDescent="0.3">
      <c r="B8" s="5" t="s">
        <v>27</v>
      </c>
      <c r="C8" s="5">
        <v>192</v>
      </c>
      <c r="D8" s="6">
        <v>0.3725</v>
      </c>
      <c r="E8" s="7">
        <v>0.38200000000000001</v>
      </c>
    </row>
    <row r="9" spans="2:5" s="5" customFormat="1" ht="20.100000000000001" customHeight="1" x14ac:dyDescent="0.3">
      <c r="B9" s="1" t="s">
        <v>27</v>
      </c>
      <c r="C9" s="1" t="s">
        <v>28</v>
      </c>
      <c r="D9" s="16">
        <f>AVERAGE(D4:D8)</f>
        <v>0.29806000000000005</v>
      </c>
      <c r="E9" s="17">
        <f>AVERAGE(E4:E8)</f>
        <v>0.34059999999999996</v>
      </c>
    </row>
    <row r="10" spans="2:5" s="5" customFormat="1" ht="20.100000000000001" customHeight="1" x14ac:dyDescent="0.3">
      <c r="B10" s="18" t="s">
        <v>32</v>
      </c>
      <c r="C10" s="18">
        <v>24</v>
      </c>
      <c r="D10" s="19">
        <v>0.10970000000000001</v>
      </c>
      <c r="E10" s="20">
        <v>0.2084</v>
      </c>
    </row>
    <row r="11" spans="2:5" s="5" customFormat="1" ht="20.100000000000001" customHeight="1" x14ac:dyDescent="0.3">
      <c r="B11" s="5" t="s">
        <v>32</v>
      </c>
      <c r="C11" s="5">
        <v>36</v>
      </c>
      <c r="D11" s="6">
        <v>0.1293</v>
      </c>
      <c r="E11" s="7">
        <v>0.22509999999999999</v>
      </c>
    </row>
    <row r="12" spans="2:5" s="5" customFormat="1" ht="20.100000000000001" customHeight="1" x14ac:dyDescent="0.3">
      <c r="B12" s="5" t="s">
        <v>32</v>
      </c>
      <c r="C12" s="5">
        <v>48</v>
      </c>
      <c r="D12" s="6">
        <v>0.14349999999999999</v>
      </c>
      <c r="E12" s="7">
        <v>0.23810000000000001</v>
      </c>
    </row>
    <row r="13" spans="2:5" s="5" customFormat="1" ht="20.100000000000001" customHeight="1" x14ac:dyDescent="0.3">
      <c r="B13" s="5" t="s">
        <v>32</v>
      </c>
      <c r="C13" s="5">
        <v>96</v>
      </c>
      <c r="D13" s="6">
        <v>0.18329999999999999</v>
      </c>
      <c r="E13" s="7">
        <v>0.26829999999999998</v>
      </c>
    </row>
    <row r="14" spans="2:5" s="5" customFormat="1" ht="20.100000000000001" customHeight="1" x14ac:dyDescent="0.3">
      <c r="B14" s="5" t="s">
        <v>32</v>
      </c>
      <c r="C14" s="5">
        <v>192</v>
      </c>
      <c r="D14" s="6">
        <v>0.2472</v>
      </c>
      <c r="E14" s="7">
        <v>0.30480000000000002</v>
      </c>
    </row>
    <row r="15" spans="2:5" s="5" customFormat="1" ht="20.100000000000001" customHeight="1" x14ac:dyDescent="0.3">
      <c r="B15" s="1" t="s">
        <v>32</v>
      </c>
      <c r="C15" s="1" t="s">
        <v>28</v>
      </c>
      <c r="D15" s="16">
        <f>AVERAGE(D10:D14)</f>
        <v>0.16259999999999999</v>
      </c>
      <c r="E15" s="17">
        <f>AVERAGE(E10:E14)</f>
        <v>0.24893999999999999</v>
      </c>
    </row>
    <row r="16" spans="2:5" s="5" customFormat="1" ht="20.100000000000001" customHeight="1" x14ac:dyDescent="0.3">
      <c r="B16" s="18" t="s">
        <v>35</v>
      </c>
      <c r="C16" s="18">
        <v>24</v>
      </c>
      <c r="D16" s="19">
        <v>0.31019999999999998</v>
      </c>
      <c r="E16" s="20">
        <v>0.36030000000000001</v>
      </c>
    </row>
    <row r="17" spans="2:5" s="5" customFormat="1" ht="20.100000000000001" customHeight="1" x14ac:dyDescent="0.3">
      <c r="B17" s="5" t="s">
        <v>35</v>
      </c>
      <c r="C17" s="5">
        <v>36</v>
      </c>
      <c r="D17" s="6">
        <v>0.3337</v>
      </c>
      <c r="E17" s="7">
        <v>0.37380000000000002</v>
      </c>
    </row>
    <row r="18" spans="2:5" s="5" customFormat="1" ht="20.100000000000001" customHeight="1" x14ac:dyDescent="0.3">
      <c r="B18" s="5" t="s">
        <v>35</v>
      </c>
      <c r="C18" s="5">
        <v>48</v>
      </c>
      <c r="D18" s="6">
        <v>0.34720000000000001</v>
      </c>
      <c r="E18" s="7">
        <v>0.38269999999999998</v>
      </c>
    </row>
    <row r="19" spans="2:5" s="5" customFormat="1" ht="20.100000000000001" customHeight="1" x14ac:dyDescent="0.3">
      <c r="B19" s="5" t="s">
        <v>35</v>
      </c>
      <c r="C19" s="5">
        <v>96</v>
      </c>
      <c r="D19" s="6">
        <v>0.39369999999999999</v>
      </c>
      <c r="E19" s="7">
        <v>0.40910000000000002</v>
      </c>
    </row>
    <row r="20" spans="2:5" s="5" customFormat="1" ht="20.100000000000001" customHeight="1" x14ac:dyDescent="0.3">
      <c r="B20" s="5" t="s">
        <v>35</v>
      </c>
      <c r="C20" s="5">
        <v>192</v>
      </c>
      <c r="D20" s="6">
        <v>0.4481</v>
      </c>
      <c r="E20" s="7">
        <v>0.43859999999999999</v>
      </c>
    </row>
    <row r="21" spans="2:5" s="5" customFormat="1" ht="20.100000000000001" customHeight="1" x14ac:dyDescent="0.3">
      <c r="B21" s="1" t="s">
        <v>35</v>
      </c>
      <c r="C21" s="1" t="s">
        <v>28</v>
      </c>
      <c r="D21" s="16">
        <f>AVERAGE(D16:D20)</f>
        <v>0.36657999999999996</v>
      </c>
      <c r="E21" s="17">
        <f>AVERAGE(E16:E20)</f>
        <v>0.39290000000000003</v>
      </c>
    </row>
    <row r="22" spans="2:5" s="5" customFormat="1" ht="20.100000000000001" customHeight="1" x14ac:dyDescent="0.3">
      <c r="B22" s="18" t="s">
        <v>38</v>
      </c>
      <c r="C22" s="18">
        <v>24</v>
      </c>
      <c r="D22" s="19">
        <v>0.18210000000000001</v>
      </c>
      <c r="E22" s="20">
        <v>0.2707</v>
      </c>
    </row>
    <row r="23" spans="2:5" s="5" customFormat="1" ht="20.100000000000001" customHeight="1" x14ac:dyDescent="0.3">
      <c r="B23" s="5" t="s">
        <v>38</v>
      </c>
      <c r="C23" s="5">
        <v>36</v>
      </c>
      <c r="D23" s="6">
        <v>0.21229999999999999</v>
      </c>
      <c r="E23" s="7">
        <v>0.28939999999999999</v>
      </c>
    </row>
    <row r="24" spans="2:5" s="5" customFormat="1" ht="20.100000000000001" customHeight="1" x14ac:dyDescent="0.3">
      <c r="B24" s="5" t="s">
        <v>38</v>
      </c>
      <c r="C24" s="5">
        <v>48</v>
      </c>
      <c r="D24" s="6">
        <v>0.23830000000000001</v>
      </c>
      <c r="E24" s="7">
        <v>0.30719999999999997</v>
      </c>
    </row>
    <row r="25" spans="2:5" s="5" customFormat="1" ht="20.100000000000001" customHeight="1" x14ac:dyDescent="0.3">
      <c r="B25" s="5" t="s">
        <v>38</v>
      </c>
      <c r="C25" s="5">
        <v>96</v>
      </c>
      <c r="D25" s="6">
        <v>0.29959999999999998</v>
      </c>
      <c r="E25" s="7">
        <v>0.34520000000000001</v>
      </c>
    </row>
    <row r="26" spans="2:5" s="5" customFormat="1" ht="20.100000000000001" customHeight="1" x14ac:dyDescent="0.3">
      <c r="B26" s="5" t="s">
        <v>38</v>
      </c>
      <c r="C26" s="5">
        <v>192</v>
      </c>
      <c r="D26" s="6">
        <v>0.38200000000000001</v>
      </c>
      <c r="E26" s="7">
        <v>0.3977</v>
      </c>
    </row>
    <row r="27" spans="2:5" s="5" customFormat="1" ht="20.100000000000001" customHeight="1" x14ac:dyDescent="0.3">
      <c r="B27" s="1" t="s">
        <v>38</v>
      </c>
      <c r="C27" s="1" t="s">
        <v>28</v>
      </c>
      <c r="D27" s="16">
        <f>AVERAGE(D22:D26)</f>
        <v>0.26285999999999998</v>
      </c>
      <c r="E27" s="17">
        <f>AVERAGE(E22:E26)</f>
        <v>0.32203999999999999</v>
      </c>
    </row>
    <row r="28" spans="2:5" s="5" customFormat="1" ht="20.100000000000001" customHeight="1" x14ac:dyDescent="0.3">
      <c r="B28" s="18" t="s">
        <v>40</v>
      </c>
      <c r="C28" s="18">
        <v>24</v>
      </c>
      <c r="D28" s="19"/>
      <c r="E28" s="20"/>
    </row>
    <row r="29" spans="2:5" s="5" customFormat="1" ht="20.100000000000001" customHeight="1" x14ac:dyDescent="0.3">
      <c r="B29" s="5" t="s">
        <v>40</v>
      </c>
      <c r="C29" s="5">
        <v>36</v>
      </c>
      <c r="D29" s="6"/>
      <c r="E29" s="7"/>
    </row>
    <row r="30" spans="2:5" s="5" customFormat="1" ht="20.100000000000001" customHeight="1" x14ac:dyDescent="0.3">
      <c r="B30" s="5" t="s">
        <v>40</v>
      </c>
      <c r="C30" s="5">
        <v>48</v>
      </c>
      <c r="D30" s="6"/>
      <c r="E30" s="7"/>
    </row>
    <row r="31" spans="2:5" s="5" customFormat="1" ht="20.100000000000001" customHeight="1" x14ac:dyDescent="0.3">
      <c r="B31" s="5" t="s">
        <v>40</v>
      </c>
      <c r="C31" s="5">
        <v>96</v>
      </c>
      <c r="D31" s="6"/>
      <c r="E31" s="7"/>
    </row>
    <row r="32" spans="2:5" s="5" customFormat="1" ht="20.100000000000001" customHeight="1" x14ac:dyDescent="0.3">
      <c r="B32" s="5" t="s">
        <v>40</v>
      </c>
      <c r="C32" s="5">
        <v>192</v>
      </c>
      <c r="D32" s="6"/>
      <c r="E32" s="7"/>
    </row>
    <row r="33" spans="2:5" s="5" customFormat="1" ht="20.100000000000001" customHeight="1" x14ac:dyDescent="0.3">
      <c r="B33" s="1" t="s">
        <v>40</v>
      </c>
      <c r="C33" s="1" t="s">
        <v>28</v>
      </c>
      <c r="D33" s="16"/>
      <c r="E33" s="17"/>
    </row>
    <row r="34" spans="2:5" s="5" customFormat="1" ht="20.100000000000001" customHeight="1" x14ac:dyDescent="0.3">
      <c r="B34" s="5" t="s">
        <v>44</v>
      </c>
      <c r="C34" s="5">
        <v>24</v>
      </c>
      <c r="D34" s="6">
        <v>2.5399999999999999E-2</v>
      </c>
      <c r="E34" s="7">
        <v>0.11020000000000001</v>
      </c>
    </row>
    <row r="35" spans="2:5" s="5" customFormat="1" ht="20.100000000000001" customHeight="1" x14ac:dyDescent="0.3">
      <c r="B35" s="5" t="s">
        <v>44</v>
      </c>
      <c r="C35" s="5">
        <v>36</v>
      </c>
      <c r="D35" s="6">
        <v>3.5099999999999999E-2</v>
      </c>
      <c r="E35" s="7">
        <v>0.13139999999999999</v>
      </c>
    </row>
    <row r="36" spans="2:5" s="5" customFormat="1" ht="20.100000000000001" customHeight="1" x14ac:dyDescent="0.3">
      <c r="B36" s="5" t="s">
        <v>44</v>
      </c>
      <c r="C36" s="5">
        <v>48</v>
      </c>
      <c r="D36" s="6">
        <v>4.3299999999999998E-2</v>
      </c>
      <c r="E36" s="7">
        <v>0.1462</v>
      </c>
    </row>
    <row r="37" spans="2:5" s="5" customFormat="1" ht="20.100000000000001" customHeight="1" x14ac:dyDescent="0.3">
      <c r="B37" s="5" t="s">
        <v>44</v>
      </c>
      <c r="C37" s="5">
        <v>96</v>
      </c>
      <c r="D37" s="6">
        <v>8.2600000000000007E-2</v>
      </c>
      <c r="E37" s="7">
        <v>0.2016</v>
      </c>
    </row>
    <row r="38" spans="2:5" s="5" customFormat="1" ht="20.100000000000001" customHeight="1" x14ac:dyDescent="0.3">
      <c r="B38" s="5" t="s">
        <v>44</v>
      </c>
      <c r="C38" s="5">
        <v>192</v>
      </c>
      <c r="D38" s="6">
        <v>0.17929999999999999</v>
      </c>
      <c r="E38" s="7">
        <v>0.30009999999999998</v>
      </c>
    </row>
    <row r="39" spans="2:5" s="5" customFormat="1" ht="20.100000000000001" customHeight="1" x14ac:dyDescent="0.3">
      <c r="B39" s="5" t="s">
        <v>44</v>
      </c>
      <c r="C39" s="5" t="s">
        <v>28</v>
      </c>
      <c r="D39" s="6">
        <f>AVERAGE(D34:D38)</f>
        <v>7.3140000000000011E-2</v>
      </c>
      <c r="E39" s="7">
        <f>AVERAGE(E34:E38)</f>
        <v>0.1779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D645-86CE-4378-9B17-038E4A797580}">
  <dimension ref="B1:P5"/>
  <sheetViews>
    <sheetView workbookViewId="0"/>
  </sheetViews>
  <sheetFormatPr defaultRowHeight="16.5" x14ac:dyDescent="0.3"/>
  <cols>
    <col min="2" max="10" width="11.75" bestFit="1" customWidth="1"/>
    <col min="11" max="16" width="12.875" bestFit="1" customWidth="1"/>
  </cols>
  <sheetData>
    <row r="1" spans="2:16" ht="20.100000000000001" customHeight="1" thickBot="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2:16" ht="20.100000000000001" customHeight="1" x14ac:dyDescent="0.3">
      <c r="B2" s="21" t="s">
        <v>16</v>
      </c>
      <c r="C2" s="14" t="s">
        <v>17</v>
      </c>
      <c r="D2" s="15" t="s">
        <v>17</v>
      </c>
      <c r="E2" s="14" t="s">
        <v>18</v>
      </c>
      <c r="F2" s="15" t="s">
        <v>18</v>
      </c>
      <c r="G2" s="14" t="s">
        <v>19</v>
      </c>
      <c r="H2" s="15" t="s">
        <v>19</v>
      </c>
      <c r="I2" s="14" t="s">
        <v>20</v>
      </c>
      <c r="J2" s="15" t="s">
        <v>20</v>
      </c>
      <c r="K2" s="14" t="s">
        <v>21</v>
      </c>
      <c r="L2" s="15" t="s">
        <v>21</v>
      </c>
      <c r="M2" s="14" t="s">
        <v>22</v>
      </c>
      <c r="N2" s="15" t="s">
        <v>22</v>
      </c>
      <c r="O2" s="14" t="s">
        <v>23</v>
      </c>
      <c r="P2" s="15" t="s">
        <v>23</v>
      </c>
    </row>
    <row r="3" spans="2:16" ht="20.100000000000001" customHeight="1" thickBot="1" x14ac:dyDescent="0.35">
      <c r="B3" s="22" t="s">
        <v>16</v>
      </c>
      <c r="C3" s="2" t="s">
        <v>24</v>
      </c>
      <c r="D3" s="4" t="s">
        <v>25</v>
      </c>
      <c r="E3" s="2" t="s">
        <v>24</v>
      </c>
      <c r="F3" s="4" t="s">
        <v>25</v>
      </c>
      <c r="G3" s="2" t="s">
        <v>24</v>
      </c>
      <c r="H3" s="4" t="s">
        <v>25</v>
      </c>
      <c r="I3" s="2" t="s">
        <v>24</v>
      </c>
      <c r="J3" s="4" t="s">
        <v>25</v>
      </c>
      <c r="K3" s="2" t="s">
        <v>24</v>
      </c>
      <c r="L3" s="4" t="s">
        <v>25</v>
      </c>
      <c r="M3" s="2" t="s">
        <v>24</v>
      </c>
      <c r="N3" s="4" t="s">
        <v>25</v>
      </c>
      <c r="O3" s="2" t="s">
        <v>24</v>
      </c>
      <c r="P3" s="4" t="s">
        <v>25</v>
      </c>
    </row>
    <row r="4" spans="2:16" ht="20.100000000000001" customHeight="1" x14ac:dyDescent="0.3">
      <c r="B4" s="23" t="s">
        <v>49</v>
      </c>
      <c r="C4" s="24" t="s">
        <v>50</v>
      </c>
      <c r="D4" s="25" t="s">
        <v>51</v>
      </c>
      <c r="E4" s="24" t="s">
        <v>47</v>
      </c>
      <c r="F4" s="25" t="s">
        <v>37</v>
      </c>
      <c r="G4" s="24" t="s">
        <v>29</v>
      </c>
      <c r="H4" s="25" t="s">
        <v>52</v>
      </c>
      <c r="I4" s="24" t="s">
        <v>53</v>
      </c>
      <c r="J4" s="25" t="s">
        <v>31</v>
      </c>
      <c r="K4" s="24" t="s">
        <v>54</v>
      </c>
      <c r="L4" s="25" t="s">
        <v>42</v>
      </c>
      <c r="M4" s="24" t="s">
        <v>46</v>
      </c>
      <c r="N4" s="25" t="s">
        <v>43</v>
      </c>
      <c r="O4" s="24" t="s">
        <v>34</v>
      </c>
      <c r="P4" s="25" t="s">
        <v>55</v>
      </c>
    </row>
    <row r="5" spans="2:16" ht="20.100000000000001" customHeight="1" thickBot="1" x14ac:dyDescent="0.35">
      <c r="B5" s="22" t="s">
        <v>56</v>
      </c>
      <c r="C5" s="26" t="s">
        <v>57</v>
      </c>
      <c r="D5" s="27" t="s">
        <v>39</v>
      </c>
      <c r="E5" s="26" t="s">
        <v>58</v>
      </c>
      <c r="F5" s="27" t="s">
        <v>33</v>
      </c>
      <c r="G5" s="26" t="s">
        <v>45</v>
      </c>
      <c r="H5" s="27" t="s">
        <v>41</v>
      </c>
      <c r="I5" s="26" t="s">
        <v>54</v>
      </c>
      <c r="J5" s="27" t="s">
        <v>59</v>
      </c>
      <c r="K5" s="26" t="s">
        <v>30</v>
      </c>
      <c r="L5" s="27" t="s">
        <v>60</v>
      </c>
      <c r="M5" s="26" t="s">
        <v>61</v>
      </c>
      <c r="N5" s="27" t="s">
        <v>36</v>
      </c>
      <c r="O5" s="26" t="s">
        <v>62</v>
      </c>
      <c r="P5" s="27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9EC16-47FD-43D7-A150-CA3FA758A99F}">
  <dimension ref="B1:D5"/>
  <sheetViews>
    <sheetView workbookViewId="0">
      <selection activeCell="B1" sqref="B1"/>
    </sheetView>
  </sheetViews>
  <sheetFormatPr defaultRowHeight="16.5" x14ac:dyDescent="0.3"/>
  <cols>
    <col min="2" max="4" width="11.75" bestFit="1" customWidth="1"/>
  </cols>
  <sheetData>
    <row r="1" spans="2:4" ht="20.100000000000001" customHeight="1" thickBot="1" x14ac:dyDescent="0.35">
      <c r="B1" t="s">
        <v>0</v>
      </c>
      <c r="C1" t="s">
        <v>1</v>
      </c>
      <c r="D1" t="s">
        <v>2</v>
      </c>
    </row>
    <row r="2" spans="2:4" ht="20.100000000000001" customHeight="1" x14ac:dyDescent="0.3">
      <c r="B2" s="21" t="s">
        <v>16</v>
      </c>
      <c r="C2" s="14" t="s">
        <v>17</v>
      </c>
      <c r="D2" s="15" t="s">
        <v>17</v>
      </c>
    </row>
    <row r="3" spans="2:4" ht="20.100000000000001" customHeight="1" thickBot="1" x14ac:dyDescent="0.35">
      <c r="B3" s="22" t="s">
        <v>16</v>
      </c>
      <c r="C3" s="2" t="s">
        <v>24</v>
      </c>
      <c r="D3" s="4" t="s">
        <v>25</v>
      </c>
    </row>
    <row r="4" spans="2:4" ht="20.100000000000001" customHeight="1" x14ac:dyDescent="0.3">
      <c r="B4" s="23" t="s">
        <v>49</v>
      </c>
      <c r="C4" s="24"/>
      <c r="D4" s="25"/>
    </row>
    <row r="5" spans="2:4" ht="20.100000000000001" customHeight="1" thickBot="1" x14ac:dyDescent="0.35">
      <c r="B5" s="22" t="s">
        <v>56</v>
      </c>
      <c r="C5" s="26"/>
      <c r="D5" s="27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492350-1509-42F1-A266-94257C9CE6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Difference</vt:lpstr>
      <vt:lpstr>Paper_Long-Term</vt:lpstr>
      <vt:lpstr>Reproduce_Long-Term_1e-4</vt:lpstr>
      <vt:lpstr>Reproduce_Long-Term_1e-5</vt:lpstr>
      <vt:lpstr>Paper_Short-Term</vt:lpstr>
      <vt:lpstr>Reproduce_Short-Term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형철 서</dc:creator>
  <cp:lastModifiedBy>형철 서</cp:lastModifiedBy>
  <dcterms:created xsi:type="dcterms:W3CDTF">2025-09-30T07:43:07Z</dcterms:created>
  <dcterms:modified xsi:type="dcterms:W3CDTF">2025-10-11T09:02:40Z</dcterms:modified>
</cp:coreProperties>
</file>